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ugas kuliah el\"/>
    </mc:Choice>
  </mc:AlternateContent>
  <xr:revisionPtr revIDLastSave="0" documentId="13_ncr:1_{473FB6F3-12B6-4D41-B82D-DC4F8F64C1F0}" xr6:coauthVersionLast="47" xr6:coauthVersionMax="47" xr10:uidLastSave="{00000000-0000-0000-0000-000000000000}"/>
  <bookViews>
    <workbookView xWindow="-110" yWindow="-110" windowWidth="19420" windowHeight="11500" activeTab="3" xr2:uid="{196F6E64-0BC5-4DFC-83F4-DF395A4C6488}"/>
  </bookViews>
  <sheets>
    <sheet name="FINAL" sheetId="3" r:id="rId1"/>
    <sheet name="Sheet1" sheetId="1" r:id="rId2"/>
    <sheet name="Sheet2" sheetId="2" r:id="rId3"/>
    <sheet name="Sheet3" sheetId="4" r:id="rId4"/>
  </sheets>
  <definedNames>
    <definedName name="_xlnm._FilterDatabase" localSheetId="2" hidden="1">Sheet2!$A$1:$I$132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4" l="1"/>
  <c r="I31" i="4"/>
  <c r="I18" i="4"/>
  <c r="I29" i="4"/>
  <c r="I8" i="4"/>
  <c r="I20" i="4"/>
  <c r="I27" i="4"/>
  <c r="I19" i="4"/>
  <c r="I3" i="4"/>
  <c r="I7" i="4"/>
  <c r="I13" i="4"/>
  <c r="I9" i="4"/>
  <c r="I28" i="4"/>
  <c r="I21" i="4"/>
  <c r="I22" i="4"/>
  <c r="I26" i="4"/>
  <c r="I5" i="4"/>
  <c r="I6" i="4"/>
  <c r="I17" i="4"/>
  <c r="I16" i="4"/>
  <c r="I10" i="4"/>
  <c r="I14" i="4"/>
  <c r="I25" i="4"/>
  <c r="I2" i="4"/>
  <c r="I15" i="4"/>
  <c r="I23" i="4"/>
  <c r="I11" i="4"/>
  <c r="I4" i="4"/>
  <c r="I12" i="4"/>
  <c r="I30" i="4"/>
  <c r="K2" i="2"/>
  <c r="L2" i="2"/>
  <c r="M2" i="2"/>
  <c r="N2" i="2"/>
  <c r="O2" i="2"/>
  <c r="P2" i="2"/>
  <c r="Q2" i="2"/>
  <c r="R2" i="2"/>
  <c r="K3" i="2"/>
  <c r="L3" i="2"/>
  <c r="M3" i="2"/>
  <c r="N3" i="2"/>
  <c r="O3" i="2"/>
  <c r="P3" i="2"/>
  <c r="Q3" i="2"/>
  <c r="R3" i="2"/>
  <c r="K4" i="2"/>
  <c r="L4" i="2"/>
  <c r="M4" i="2"/>
  <c r="N4" i="2"/>
  <c r="O4" i="2"/>
  <c r="P4" i="2"/>
  <c r="Q4" i="2"/>
  <c r="R4" i="2"/>
  <c r="K5" i="2"/>
  <c r="L5" i="2"/>
  <c r="M5" i="2"/>
  <c r="N5" i="2"/>
  <c r="O5" i="2"/>
  <c r="P5" i="2"/>
  <c r="Q5" i="2"/>
  <c r="R5" i="2"/>
  <c r="K6" i="2"/>
  <c r="L6" i="2"/>
  <c r="M6" i="2"/>
  <c r="N6" i="2"/>
  <c r="O6" i="2"/>
  <c r="P6" i="2"/>
  <c r="Q6" i="2"/>
  <c r="R6" i="2"/>
  <c r="K7" i="2"/>
  <c r="L7" i="2"/>
  <c r="M7" i="2"/>
  <c r="N7" i="2"/>
  <c r="O7" i="2"/>
  <c r="P7" i="2"/>
  <c r="Q7" i="2"/>
  <c r="R7" i="2"/>
  <c r="K8" i="2"/>
  <c r="L8" i="2"/>
  <c r="M8" i="2"/>
  <c r="N8" i="2"/>
  <c r="O8" i="2"/>
  <c r="P8" i="2"/>
  <c r="Q8" i="2"/>
  <c r="R8" i="2"/>
  <c r="K9" i="2"/>
  <c r="L9" i="2"/>
  <c r="M9" i="2"/>
  <c r="N9" i="2"/>
  <c r="O9" i="2"/>
  <c r="P9" i="2"/>
  <c r="Q9" i="2"/>
  <c r="R9" i="2"/>
  <c r="K10" i="2"/>
  <c r="L10" i="2"/>
  <c r="M10" i="2"/>
  <c r="N10" i="2"/>
  <c r="O10" i="2"/>
  <c r="P10" i="2"/>
  <c r="Q10" i="2"/>
  <c r="R10" i="2"/>
  <c r="K11" i="2"/>
  <c r="L11" i="2"/>
  <c r="M11" i="2"/>
  <c r="N11" i="2"/>
  <c r="O11" i="2"/>
  <c r="P11" i="2"/>
  <c r="Q11" i="2"/>
  <c r="R11" i="2"/>
  <c r="K12" i="2"/>
  <c r="L12" i="2"/>
  <c r="M12" i="2"/>
  <c r="N12" i="2"/>
  <c r="O12" i="2"/>
  <c r="P12" i="2"/>
  <c r="Q12" i="2"/>
  <c r="R12" i="2"/>
  <c r="K13" i="2"/>
  <c r="L13" i="2"/>
  <c r="M13" i="2"/>
  <c r="N13" i="2"/>
  <c r="O13" i="2"/>
  <c r="P13" i="2"/>
  <c r="Q13" i="2"/>
  <c r="R13" i="2"/>
  <c r="K14" i="2"/>
  <c r="L14" i="2"/>
  <c r="M14" i="2"/>
  <c r="N14" i="2"/>
  <c r="O14" i="2"/>
  <c r="P14" i="2"/>
  <c r="Q14" i="2"/>
  <c r="R14" i="2"/>
  <c r="K15" i="2"/>
  <c r="L15" i="2"/>
  <c r="M15" i="2"/>
  <c r="N15" i="2"/>
  <c r="O15" i="2"/>
  <c r="P15" i="2"/>
  <c r="Q15" i="2"/>
  <c r="R15" i="2"/>
  <c r="K16" i="2"/>
  <c r="L16" i="2"/>
  <c r="M16" i="2"/>
  <c r="N16" i="2"/>
  <c r="O16" i="2"/>
  <c r="P16" i="2"/>
  <c r="Q16" i="2"/>
  <c r="R16" i="2"/>
  <c r="K17" i="2"/>
  <c r="L17" i="2"/>
  <c r="M17" i="2"/>
  <c r="N17" i="2"/>
  <c r="O17" i="2"/>
  <c r="P17" i="2"/>
  <c r="Q17" i="2"/>
  <c r="R17" i="2"/>
  <c r="K18" i="2"/>
  <c r="L18" i="2"/>
  <c r="M18" i="2"/>
  <c r="N18" i="2"/>
  <c r="O18" i="2"/>
  <c r="P18" i="2"/>
  <c r="Q18" i="2"/>
  <c r="R18" i="2"/>
  <c r="K19" i="2"/>
  <c r="L19" i="2"/>
  <c r="M19" i="2"/>
  <c r="N19" i="2"/>
  <c r="O19" i="2"/>
  <c r="P19" i="2"/>
  <c r="Q19" i="2"/>
  <c r="R19" i="2"/>
  <c r="K20" i="2"/>
  <c r="L20" i="2"/>
  <c r="M20" i="2"/>
  <c r="N20" i="2"/>
  <c r="O20" i="2"/>
  <c r="P20" i="2"/>
  <c r="Q20" i="2"/>
  <c r="R20" i="2"/>
  <c r="K21" i="2"/>
  <c r="L21" i="2"/>
  <c r="M21" i="2"/>
  <c r="N21" i="2"/>
  <c r="O21" i="2"/>
  <c r="P21" i="2"/>
  <c r="Q21" i="2"/>
  <c r="R21" i="2"/>
  <c r="K22" i="2"/>
  <c r="L22" i="2"/>
  <c r="M22" i="2"/>
  <c r="N22" i="2"/>
  <c r="O22" i="2"/>
  <c r="P22" i="2"/>
  <c r="Q22" i="2"/>
  <c r="R22" i="2"/>
  <c r="K23" i="2"/>
  <c r="L23" i="2"/>
  <c r="M23" i="2"/>
  <c r="N23" i="2"/>
  <c r="O23" i="2"/>
  <c r="P23" i="2"/>
  <c r="Q23" i="2"/>
  <c r="R23" i="2"/>
  <c r="K24" i="2"/>
  <c r="L24" i="2"/>
  <c r="M24" i="2"/>
  <c r="N24" i="2"/>
  <c r="O24" i="2"/>
  <c r="P24" i="2"/>
  <c r="Q24" i="2"/>
  <c r="R24" i="2"/>
  <c r="K25" i="2"/>
  <c r="L25" i="2"/>
  <c r="M25" i="2"/>
  <c r="N25" i="2"/>
  <c r="O25" i="2"/>
  <c r="P25" i="2"/>
  <c r="Q25" i="2"/>
  <c r="R25" i="2"/>
  <c r="K26" i="2"/>
  <c r="L26" i="2"/>
  <c r="M26" i="2"/>
  <c r="N26" i="2"/>
  <c r="O26" i="2"/>
  <c r="P26" i="2"/>
  <c r="Q26" i="2"/>
  <c r="R26" i="2"/>
  <c r="K27" i="2"/>
  <c r="L27" i="2"/>
  <c r="M27" i="2"/>
  <c r="N27" i="2"/>
  <c r="O27" i="2"/>
  <c r="P27" i="2"/>
  <c r="Q27" i="2"/>
  <c r="R27" i="2"/>
  <c r="K28" i="2"/>
  <c r="L28" i="2"/>
  <c r="M28" i="2"/>
  <c r="N28" i="2"/>
  <c r="O28" i="2"/>
  <c r="P28" i="2"/>
  <c r="Q28" i="2"/>
  <c r="R28" i="2"/>
  <c r="K29" i="2"/>
  <c r="L29" i="2"/>
  <c r="M29" i="2"/>
  <c r="N29" i="2"/>
  <c r="O29" i="2"/>
  <c r="P29" i="2"/>
  <c r="Q29" i="2"/>
  <c r="R29" i="2"/>
  <c r="K30" i="2"/>
  <c r="L30" i="2"/>
  <c r="M30" i="2"/>
  <c r="N30" i="2"/>
  <c r="O30" i="2"/>
  <c r="P30" i="2"/>
  <c r="Q30" i="2"/>
  <c r="R30" i="2"/>
  <c r="K31" i="2"/>
  <c r="L31" i="2"/>
  <c r="M31" i="2"/>
  <c r="N31" i="2"/>
  <c r="O31" i="2"/>
  <c r="P31" i="2"/>
  <c r="Q31" i="2"/>
  <c r="R31" i="2"/>
  <c r="K32" i="2"/>
  <c r="L32" i="2"/>
  <c r="M32" i="2"/>
  <c r="N32" i="2"/>
  <c r="O32" i="2"/>
  <c r="P32" i="2"/>
  <c r="Q32" i="2"/>
  <c r="R32" i="2"/>
  <c r="K33" i="2"/>
  <c r="L33" i="2"/>
  <c r="M33" i="2"/>
  <c r="N33" i="2"/>
  <c r="O33" i="2"/>
  <c r="P33" i="2"/>
  <c r="Q33" i="2"/>
  <c r="R33" i="2"/>
  <c r="K34" i="2"/>
  <c r="L34" i="2"/>
  <c r="M34" i="2"/>
  <c r="N34" i="2"/>
  <c r="O34" i="2"/>
  <c r="P34" i="2"/>
  <c r="Q34" i="2"/>
  <c r="R34" i="2"/>
  <c r="K35" i="2"/>
  <c r="L35" i="2"/>
  <c r="M35" i="2"/>
  <c r="N35" i="2"/>
  <c r="O35" i="2"/>
  <c r="P35" i="2"/>
  <c r="Q35" i="2"/>
  <c r="R35" i="2"/>
  <c r="K36" i="2"/>
  <c r="L36" i="2"/>
  <c r="M36" i="2"/>
  <c r="N36" i="2"/>
  <c r="O36" i="2"/>
  <c r="P36" i="2"/>
  <c r="Q36" i="2"/>
  <c r="R36" i="2"/>
  <c r="K37" i="2"/>
  <c r="L37" i="2"/>
  <c r="M37" i="2"/>
  <c r="N37" i="2"/>
  <c r="O37" i="2"/>
  <c r="P37" i="2"/>
  <c r="Q37" i="2"/>
  <c r="R37" i="2"/>
  <c r="K38" i="2"/>
  <c r="L38" i="2"/>
  <c r="M38" i="2"/>
  <c r="N38" i="2"/>
  <c r="O38" i="2"/>
  <c r="P38" i="2"/>
  <c r="Q38" i="2"/>
  <c r="R38" i="2"/>
  <c r="K39" i="2"/>
  <c r="L39" i="2"/>
  <c r="M39" i="2"/>
  <c r="N39" i="2"/>
  <c r="O39" i="2"/>
  <c r="P39" i="2"/>
  <c r="Q39" i="2"/>
  <c r="R39" i="2"/>
  <c r="K40" i="2"/>
  <c r="L40" i="2"/>
  <c r="M40" i="2"/>
  <c r="N40" i="2"/>
  <c r="O40" i="2"/>
  <c r="P40" i="2"/>
  <c r="Q40" i="2"/>
  <c r="R40" i="2"/>
  <c r="K41" i="2"/>
  <c r="L41" i="2"/>
  <c r="M41" i="2"/>
  <c r="N41" i="2"/>
  <c r="O41" i="2"/>
  <c r="P41" i="2"/>
  <c r="Q41" i="2"/>
  <c r="R41" i="2"/>
  <c r="K42" i="2"/>
  <c r="L42" i="2"/>
  <c r="M42" i="2"/>
  <c r="N42" i="2"/>
  <c r="O42" i="2"/>
  <c r="P42" i="2"/>
  <c r="Q42" i="2"/>
  <c r="R42" i="2"/>
  <c r="K43" i="2"/>
  <c r="L43" i="2"/>
  <c r="M43" i="2"/>
  <c r="N43" i="2"/>
  <c r="O43" i="2"/>
  <c r="P43" i="2"/>
  <c r="Q43" i="2"/>
  <c r="R43" i="2"/>
  <c r="K44" i="2"/>
  <c r="L44" i="2"/>
  <c r="M44" i="2"/>
  <c r="N44" i="2"/>
  <c r="O44" i="2"/>
  <c r="P44" i="2"/>
  <c r="Q44" i="2"/>
  <c r="R44" i="2"/>
  <c r="K45" i="2"/>
  <c r="L45" i="2"/>
  <c r="M45" i="2"/>
  <c r="N45" i="2"/>
  <c r="O45" i="2"/>
  <c r="P45" i="2"/>
  <c r="Q45" i="2"/>
  <c r="R45" i="2"/>
  <c r="K46" i="2"/>
  <c r="L46" i="2"/>
  <c r="M46" i="2"/>
  <c r="N46" i="2"/>
  <c r="O46" i="2"/>
  <c r="P46" i="2"/>
  <c r="Q46" i="2"/>
  <c r="R46" i="2"/>
  <c r="K47" i="2"/>
  <c r="L47" i="2"/>
  <c r="M47" i="2"/>
  <c r="N47" i="2"/>
  <c r="O47" i="2"/>
  <c r="P47" i="2"/>
  <c r="Q47" i="2"/>
  <c r="R47" i="2"/>
  <c r="K48" i="2"/>
  <c r="L48" i="2"/>
  <c r="M48" i="2"/>
  <c r="N48" i="2"/>
  <c r="O48" i="2"/>
  <c r="P48" i="2"/>
  <c r="Q48" i="2"/>
  <c r="R48" i="2"/>
  <c r="K49" i="2"/>
  <c r="L49" i="2"/>
  <c r="M49" i="2"/>
  <c r="N49" i="2"/>
  <c r="O49" i="2"/>
  <c r="P49" i="2"/>
  <c r="Q49" i="2"/>
  <c r="R49" i="2"/>
  <c r="K50" i="2"/>
  <c r="L50" i="2"/>
  <c r="M50" i="2"/>
  <c r="N50" i="2"/>
  <c r="O50" i="2"/>
  <c r="P50" i="2"/>
  <c r="Q50" i="2"/>
  <c r="R50" i="2"/>
  <c r="K51" i="2"/>
  <c r="L51" i="2"/>
  <c r="M51" i="2"/>
  <c r="N51" i="2"/>
  <c r="O51" i="2"/>
  <c r="P51" i="2"/>
  <c r="Q51" i="2"/>
  <c r="R51" i="2"/>
  <c r="K52" i="2"/>
  <c r="L52" i="2"/>
  <c r="M52" i="2"/>
  <c r="N52" i="2"/>
  <c r="O52" i="2"/>
  <c r="P52" i="2"/>
  <c r="Q52" i="2"/>
  <c r="R52" i="2"/>
  <c r="K53" i="2"/>
  <c r="L53" i="2"/>
  <c r="M53" i="2"/>
  <c r="N53" i="2"/>
  <c r="O53" i="2"/>
  <c r="P53" i="2"/>
  <c r="Q53" i="2"/>
  <c r="R53" i="2"/>
  <c r="K54" i="2"/>
  <c r="L54" i="2"/>
  <c r="M54" i="2"/>
  <c r="N54" i="2"/>
  <c r="O54" i="2"/>
  <c r="P54" i="2"/>
  <c r="Q54" i="2"/>
  <c r="R54" i="2"/>
  <c r="K55" i="2"/>
  <c r="L55" i="2"/>
  <c r="M55" i="2"/>
  <c r="N55" i="2"/>
  <c r="O55" i="2"/>
  <c r="P55" i="2"/>
  <c r="Q55" i="2"/>
  <c r="R55" i="2"/>
  <c r="K56" i="2"/>
  <c r="L56" i="2"/>
  <c r="M56" i="2"/>
  <c r="N56" i="2"/>
  <c r="O56" i="2"/>
  <c r="P56" i="2"/>
  <c r="Q56" i="2"/>
  <c r="R56" i="2"/>
  <c r="K57" i="2"/>
  <c r="L57" i="2"/>
  <c r="M57" i="2"/>
  <c r="N57" i="2"/>
  <c r="O57" i="2"/>
  <c r="P57" i="2"/>
  <c r="Q57" i="2"/>
  <c r="R57" i="2"/>
  <c r="K58" i="2"/>
  <c r="L58" i="2"/>
  <c r="M58" i="2"/>
  <c r="N58" i="2"/>
  <c r="O58" i="2"/>
  <c r="P58" i="2"/>
  <c r="Q58" i="2"/>
  <c r="R58" i="2"/>
  <c r="K59" i="2"/>
  <c r="L59" i="2"/>
  <c r="M59" i="2"/>
  <c r="N59" i="2"/>
  <c r="O59" i="2"/>
  <c r="P59" i="2"/>
  <c r="Q59" i="2"/>
  <c r="R59" i="2"/>
  <c r="K60" i="2"/>
  <c r="L60" i="2"/>
  <c r="M60" i="2"/>
  <c r="N60" i="2"/>
  <c r="O60" i="2"/>
  <c r="P60" i="2"/>
  <c r="Q60" i="2"/>
  <c r="R60" i="2"/>
  <c r="K61" i="2"/>
  <c r="L61" i="2"/>
  <c r="M61" i="2"/>
  <c r="N61" i="2"/>
  <c r="O61" i="2"/>
  <c r="P61" i="2"/>
  <c r="Q61" i="2"/>
  <c r="R61" i="2"/>
  <c r="K62" i="2"/>
  <c r="L62" i="2"/>
  <c r="M62" i="2"/>
  <c r="N62" i="2"/>
  <c r="O62" i="2"/>
  <c r="P62" i="2"/>
  <c r="Q62" i="2"/>
  <c r="R62" i="2"/>
  <c r="K63" i="2"/>
  <c r="L63" i="2"/>
  <c r="M63" i="2"/>
  <c r="N63" i="2"/>
  <c r="O63" i="2"/>
  <c r="P63" i="2"/>
  <c r="Q63" i="2"/>
  <c r="R63" i="2"/>
  <c r="K64" i="2"/>
  <c r="L64" i="2"/>
  <c r="M64" i="2"/>
  <c r="N64" i="2"/>
  <c r="O64" i="2"/>
  <c r="P64" i="2"/>
  <c r="Q64" i="2"/>
  <c r="R64" i="2"/>
  <c r="K65" i="2"/>
  <c r="L65" i="2"/>
  <c r="M65" i="2"/>
  <c r="N65" i="2"/>
  <c r="O65" i="2"/>
  <c r="P65" i="2"/>
  <c r="Q65" i="2"/>
  <c r="R65" i="2"/>
  <c r="K66" i="2"/>
  <c r="L66" i="2"/>
  <c r="M66" i="2"/>
  <c r="N66" i="2"/>
  <c r="O66" i="2"/>
  <c r="P66" i="2"/>
  <c r="Q66" i="2"/>
  <c r="R66" i="2"/>
  <c r="K67" i="2"/>
  <c r="L67" i="2"/>
  <c r="M67" i="2"/>
  <c r="N67" i="2"/>
  <c r="O67" i="2"/>
  <c r="P67" i="2"/>
  <c r="Q67" i="2"/>
  <c r="R67" i="2"/>
  <c r="K68" i="2"/>
  <c r="L68" i="2"/>
  <c r="M68" i="2"/>
  <c r="N68" i="2"/>
  <c r="O68" i="2"/>
  <c r="P68" i="2"/>
  <c r="Q68" i="2"/>
  <c r="R68" i="2"/>
  <c r="K69" i="2"/>
  <c r="L69" i="2"/>
  <c r="M69" i="2"/>
  <c r="N69" i="2"/>
  <c r="O69" i="2"/>
  <c r="P69" i="2"/>
  <c r="Q69" i="2"/>
  <c r="R69" i="2"/>
  <c r="K70" i="2"/>
  <c r="L70" i="2"/>
  <c r="M70" i="2"/>
  <c r="N70" i="2"/>
  <c r="O70" i="2"/>
  <c r="P70" i="2"/>
  <c r="Q70" i="2"/>
  <c r="R70" i="2"/>
  <c r="K71" i="2"/>
  <c r="L71" i="2"/>
  <c r="M71" i="2"/>
  <c r="N71" i="2"/>
  <c r="O71" i="2"/>
  <c r="P71" i="2"/>
  <c r="Q71" i="2"/>
  <c r="R71" i="2"/>
  <c r="K72" i="2"/>
  <c r="L72" i="2"/>
  <c r="M72" i="2"/>
  <c r="N72" i="2"/>
  <c r="O72" i="2"/>
  <c r="P72" i="2"/>
  <c r="Q72" i="2"/>
  <c r="R72" i="2"/>
  <c r="K73" i="2"/>
  <c r="L73" i="2"/>
  <c r="M73" i="2"/>
  <c r="N73" i="2"/>
  <c r="O73" i="2"/>
  <c r="P73" i="2"/>
  <c r="Q73" i="2"/>
  <c r="R73" i="2"/>
  <c r="K74" i="2"/>
  <c r="L74" i="2"/>
  <c r="M74" i="2"/>
  <c r="N74" i="2"/>
  <c r="O74" i="2"/>
  <c r="P74" i="2"/>
  <c r="Q74" i="2"/>
  <c r="R74" i="2"/>
  <c r="K75" i="2"/>
  <c r="L75" i="2"/>
  <c r="M75" i="2"/>
  <c r="N75" i="2"/>
  <c r="O75" i="2"/>
  <c r="P75" i="2"/>
  <c r="Q75" i="2"/>
  <c r="R75" i="2"/>
  <c r="K76" i="2"/>
  <c r="L76" i="2"/>
  <c r="M76" i="2"/>
  <c r="N76" i="2"/>
  <c r="O76" i="2"/>
  <c r="P76" i="2"/>
  <c r="Q76" i="2"/>
  <c r="R76" i="2"/>
  <c r="K77" i="2"/>
  <c r="L77" i="2"/>
  <c r="M77" i="2"/>
  <c r="N77" i="2"/>
  <c r="O77" i="2"/>
  <c r="P77" i="2"/>
  <c r="Q77" i="2"/>
  <c r="R77" i="2"/>
  <c r="K78" i="2"/>
  <c r="L78" i="2"/>
  <c r="M78" i="2"/>
  <c r="N78" i="2"/>
  <c r="O78" i="2"/>
  <c r="P78" i="2"/>
  <c r="Q78" i="2"/>
  <c r="R78" i="2"/>
  <c r="K79" i="2"/>
  <c r="L79" i="2"/>
  <c r="M79" i="2"/>
  <c r="N79" i="2"/>
  <c r="O79" i="2"/>
  <c r="P79" i="2"/>
  <c r="Q79" i="2"/>
  <c r="R79" i="2"/>
  <c r="K80" i="2"/>
  <c r="L80" i="2"/>
  <c r="M80" i="2"/>
  <c r="N80" i="2"/>
  <c r="O80" i="2"/>
  <c r="P80" i="2"/>
  <c r="Q80" i="2"/>
  <c r="R80" i="2"/>
  <c r="K81" i="2"/>
  <c r="L81" i="2"/>
  <c r="M81" i="2"/>
  <c r="N81" i="2"/>
  <c r="O81" i="2"/>
  <c r="P81" i="2"/>
  <c r="Q81" i="2"/>
  <c r="R81" i="2"/>
  <c r="K82" i="2"/>
  <c r="L82" i="2"/>
  <c r="M82" i="2"/>
  <c r="N82" i="2"/>
  <c r="O82" i="2"/>
  <c r="P82" i="2"/>
  <c r="Q82" i="2"/>
  <c r="R82" i="2"/>
  <c r="K83" i="2"/>
  <c r="L83" i="2"/>
  <c r="M83" i="2"/>
  <c r="N83" i="2"/>
  <c r="O83" i="2"/>
  <c r="P83" i="2"/>
  <c r="Q83" i="2"/>
  <c r="R83" i="2"/>
  <c r="K84" i="2"/>
  <c r="L84" i="2"/>
  <c r="M84" i="2"/>
  <c r="N84" i="2"/>
  <c r="O84" i="2"/>
  <c r="P84" i="2"/>
  <c r="Q84" i="2"/>
  <c r="R84" i="2"/>
  <c r="K85" i="2"/>
  <c r="L85" i="2"/>
  <c r="M85" i="2"/>
  <c r="N85" i="2"/>
  <c r="O85" i="2"/>
  <c r="P85" i="2"/>
  <c r="Q85" i="2"/>
  <c r="R85" i="2"/>
  <c r="K86" i="2"/>
  <c r="L86" i="2"/>
  <c r="M86" i="2"/>
  <c r="N86" i="2"/>
  <c r="O86" i="2"/>
  <c r="P86" i="2"/>
  <c r="Q86" i="2"/>
  <c r="R86" i="2"/>
  <c r="K87" i="2"/>
  <c r="L87" i="2"/>
  <c r="M87" i="2"/>
  <c r="N87" i="2"/>
  <c r="O87" i="2"/>
  <c r="P87" i="2"/>
  <c r="Q87" i="2"/>
  <c r="R87" i="2"/>
  <c r="K88" i="2"/>
  <c r="L88" i="2"/>
  <c r="M88" i="2"/>
  <c r="N88" i="2"/>
  <c r="O88" i="2"/>
  <c r="P88" i="2"/>
  <c r="Q88" i="2"/>
  <c r="R88" i="2"/>
  <c r="K89" i="2"/>
  <c r="L89" i="2"/>
  <c r="M89" i="2"/>
  <c r="N89" i="2"/>
  <c r="O89" i="2"/>
  <c r="P89" i="2"/>
  <c r="Q89" i="2"/>
  <c r="R89" i="2"/>
  <c r="K90" i="2"/>
  <c r="L90" i="2"/>
  <c r="M90" i="2"/>
  <c r="N90" i="2"/>
  <c r="O90" i="2"/>
  <c r="P90" i="2"/>
  <c r="Q90" i="2"/>
  <c r="R90" i="2"/>
  <c r="K91" i="2"/>
  <c r="L91" i="2"/>
  <c r="M91" i="2"/>
  <c r="N91" i="2"/>
  <c r="O91" i="2"/>
  <c r="P91" i="2"/>
  <c r="Q91" i="2"/>
  <c r="R91" i="2"/>
  <c r="K92" i="2"/>
  <c r="L92" i="2"/>
  <c r="M92" i="2"/>
  <c r="N92" i="2"/>
  <c r="O92" i="2"/>
  <c r="P92" i="2"/>
  <c r="Q92" i="2"/>
  <c r="R92" i="2"/>
  <c r="K93" i="2"/>
  <c r="L93" i="2"/>
  <c r="M93" i="2"/>
  <c r="N93" i="2"/>
  <c r="O93" i="2"/>
  <c r="P93" i="2"/>
  <c r="Q93" i="2"/>
  <c r="R93" i="2"/>
  <c r="K94" i="2"/>
  <c r="L94" i="2"/>
  <c r="M94" i="2"/>
  <c r="N94" i="2"/>
  <c r="O94" i="2"/>
  <c r="P94" i="2"/>
  <c r="Q94" i="2"/>
  <c r="R94" i="2"/>
  <c r="K95" i="2"/>
  <c r="L95" i="2"/>
  <c r="M95" i="2"/>
  <c r="N95" i="2"/>
  <c r="O95" i="2"/>
  <c r="P95" i="2"/>
  <c r="Q95" i="2"/>
  <c r="R95" i="2"/>
  <c r="K96" i="2"/>
  <c r="L96" i="2"/>
  <c r="M96" i="2"/>
  <c r="N96" i="2"/>
  <c r="O96" i="2"/>
  <c r="P96" i="2"/>
  <c r="Q96" i="2"/>
  <c r="R96" i="2"/>
  <c r="K97" i="2"/>
  <c r="L97" i="2"/>
  <c r="M97" i="2"/>
  <c r="N97" i="2"/>
  <c r="O97" i="2"/>
  <c r="P97" i="2"/>
  <c r="Q97" i="2"/>
  <c r="R97" i="2"/>
  <c r="K98" i="2"/>
  <c r="L98" i="2"/>
  <c r="M98" i="2"/>
  <c r="N98" i="2"/>
  <c r="O98" i="2"/>
  <c r="P98" i="2"/>
  <c r="Q98" i="2"/>
  <c r="R98" i="2"/>
  <c r="K99" i="2"/>
  <c r="L99" i="2"/>
  <c r="M99" i="2"/>
  <c r="N99" i="2"/>
  <c r="O99" i="2"/>
  <c r="P99" i="2"/>
  <c r="Q99" i="2"/>
  <c r="R99" i="2"/>
  <c r="K100" i="2"/>
  <c r="L100" i="2"/>
  <c r="M100" i="2"/>
  <c r="N100" i="2"/>
  <c r="O100" i="2"/>
  <c r="P100" i="2"/>
  <c r="Q100" i="2"/>
  <c r="R100" i="2"/>
  <c r="K101" i="2"/>
  <c r="L101" i="2"/>
  <c r="M101" i="2"/>
  <c r="N101" i="2"/>
  <c r="O101" i="2"/>
  <c r="P101" i="2"/>
  <c r="Q101" i="2"/>
  <c r="R101" i="2"/>
  <c r="K102" i="2"/>
  <c r="L102" i="2"/>
  <c r="M102" i="2"/>
  <c r="N102" i="2"/>
  <c r="O102" i="2"/>
  <c r="P102" i="2"/>
  <c r="Q102" i="2"/>
  <c r="R102" i="2"/>
  <c r="K103" i="2"/>
  <c r="L103" i="2"/>
  <c r="M103" i="2"/>
  <c r="N103" i="2"/>
  <c r="O103" i="2"/>
  <c r="P103" i="2"/>
  <c r="Q103" i="2"/>
  <c r="R103" i="2"/>
  <c r="K104" i="2"/>
  <c r="L104" i="2"/>
  <c r="M104" i="2"/>
  <c r="N104" i="2"/>
  <c r="O104" i="2"/>
  <c r="P104" i="2"/>
  <c r="Q104" i="2"/>
  <c r="R104" i="2"/>
  <c r="K105" i="2"/>
  <c r="L105" i="2"/>
  <c r="M105" i="2"/>
  <c r="N105" i="2"/>
  <c r="O105" i="2"/>
  <c r="P105" i="2"/>
  <c r="Q105" i="2"/>
  <c r="R105" i="2"/>
  <c r="K106" i="2"/>
  <c r="L106" i="2"/>
  <c r="M106" i="2"/>
  <c r="N106" i="2"/>
  <c r="O106" i="2"/>
  <c r="P106" i="2"/>
  <c r="Q106" i="2"/>
  <c r="R106" i="2"/>
  <c r="K107" i="2"/>
  <c r="L107" i="2"/>
  <c r="M107" i="2"/>
  <c r="N107" i="2"/>
  <c r="O107" i="2"/>
  <c r="P107" i="2"/>
  <c r="Q107" i="2"/>
  <c r="R107" i="2"/>
  <c r="K108" i="2"/>
  <c r="L108" i="2"/>
  <c r="M108" i="2"/>
  <c r="N108" i="2"/>
  <c r="O108" i="2"/>
  <c r="P108" i="2"/>
  <c r="Q108" i="2"/>
  <c r="R108" i="2"/>
  <c r="K109" i="2"/>
  <c r="L109" i="2"/>
  <c r="M109" i="2"/>
  <c r="N109" i="2"/>
  <c r="O109" i="2"/>
  <c r="P109" i="2"/>
  <c r="Q109" i="2"/>
  <c r="R109" i="2"/>
  <c r="K110" i="2"/>
  <c r="L110" i="2"/>
  <c r="M110" i="2"/>
  <c r="N110" i="2"/>
  <c r="O110" i="2"/>
  <c r="P110" i="2"/>
  <c r="Q110" i="2"/>
  <c r="R110" i="2"/>
  <c r="K111" i="2"/>
  <c r="L111" i="2"/>
  <c r="M111" i="2"/>
  <c r="N111" i="2"/>
  <c r="O111" i="2"/>
  <c r="P111" i="2"/>
  <c r="Q111" i="2"/>
  <c r="R111" i="2"/>
  <c r="K112" i="2"/>
  <c r="L112" i="2"/>
  <c r="M112" i="2"/>
  <c r="N112" i="2"/>
  <c r="O112" i="2"/>
  <c r="P112" i="2"/>
  <c r="Q112" i="2"/>
  <c r="R112" i="2"/>
  <c r="K113" i="2"/>
  <c r="L113" i="2"/>
  <c r="M113" i="2"/>
  <c r="N113" i="2"/>
  <c r="O113" i="2"/>
  <c r="P113" i="2"/>
  <c r="Q113" i="2"/>
  <c r="R113" i="2"/>
  <c r="K114" i="2"/>
  <c r="L114" i="2"/>
  <c r="M114" i="2"/>
  <c r="N114" i="2"/>
  <c r="O114" i="2"/>
  <c r="P114" i="2"/>
  <c r="Q114" i="2"/>
  <c r="R114" i="2"/>
  <c r="K115" i="2"/>
  <c r="L115" i="2"/>
  <c r="M115" i="2"/>
  <c r="N115" i="2"/>
  <c r="O115" i="2"/>
  <c r="P115" i="2"/>
  <c r="Q115" i="2"/>
  <c r="R115" i="2"/>
  <c r="K116" i="2"/>
  <c r="L116" i="2"/>
  <c r="M116" i="2"/>
  <c r="N116" i="2"/>
  <c r="O116" i="2"/>
  <c r="P116" i="2"/>
  <c r="Q116" i="2"/>
  <c r="R116" i="2"/>
  <c r="K117" i="2"/>
  <c r="L117" i="2"/>
  <c r="M117" i="2"/>
  <c r="N117" i="2"/>
  <c r="O117" i="2"/>
  <c r="P117" i="2"/>
  <c r="Q117" i="2"/>
  <c r="R117" i="2"/>
  <c r="K118" i="2"/>
  <c r="L118" i="2"/>
  <c r="M118" i="2"/>
  <c r="N118" i="2"/>
  <c r="O118" i="2"/>
  <c r="P118" i="2"/>
  <c r="Q118" i="2"/>
  <c r="R118" i="2"/>
  <c r="K119" i="2"/>
  <c r="L119" i="2"/>
  <c r="M119" i="2"/>
  <c r="N119" i="2"/>
  <c r="O119" i="2"/>
  <c r="P119" i="2"/>
  <c r="Q119" i="2"/>
  <c r="R119" i="2"/>
  <c r="K120" i="2"/>
  <c r="L120" i="2"/>
  <c r="M120" i="2"/>
  <c r="N120" i="2"/>
  <c r="O120" i="2"/>
  <c r="P120" i="2"/>
  <c r="Q120" i="2"/>
  <c r="R120" i="2"/>
  <c r="K121" i="2"/>
  <c r="L121" i="2"/>
  <c r="M121" i="2"/>
  <c r="N121" i="2"/>
  <c r="O121" i="2"/>
  <c r="P121" i="2"/>
  <c r="Q121" i="2"/>
  <c r="R121" i="2"/>
  <c r="K122" i="2"/>
  <c r="L122" i="2"/>
  <c r="M122" i="2"/>
  <c r="N122" i="2"/>
  <c r="O122" i="2"/>
  <c r="P122" i="2"/>
  <c r="Q122" i="2"/>
  <c r="R122" i="2"/>
  <c r="K123" i="2"/>
  <c r="L123" i="2"/>
  <c r="M123" i="2"/>
  <c r="N123" i="2"/>
  <c r="O123" i="2"/>
  <c r="P123" i="2"/>
  <c r="Q123" i="2"/>
  <c r="R123" i="2"/>
  <c r="K124" i="2"/>
  <c r="L124" i="2"/>
  <c r="M124" i="2"/>
  <c r="N124" i="2"/>
  <c r="O124" i="2"/>
  <c r="P124" i="2"/>
  <c r="Q124" i="2"/>
  <c r="R124" i="2"/>
  <c r="K125" i="2"/>
  <c r="L125" i="2"/>
  <c r="M125" i="2"/>
  <c r="N125" i="2"/>
  <c r="O125" i="2"/>
  <c r="P125" i="2"/>
  <c r="Q125" i="2"/>
  <c r="R125" i="2"/>
  <c r="K126" i="2"/>
  <c r="L126" i="2"/>
  <c r="M126" i="2"/>
  <c r="N126" i="2"/>
  <c r="O126" i="2"/>
  <c r="P126" i="2"/>
  <c r="Q126" i="2"/>
  <c r="R126" i="2"/>
  <c r="K127" i="2"/>
  <c r="L127" i="2"/>
  <c r="M127" i="2"/>
  <c r="N127" i="2"/>
  <c r="O127" i="2"/>
  <c r="P127" i="2"/>
  <c r="Q127" i="2"/>
  <c r="R127" i="2"/>
  <c r="K128" i="2"/>
  <c r="L128" i="2"/>
  <c r="M128" i="2"/>
  <c r="N128" i="2"/>
  <c r="O128" i="2"/>
  <c r="P128" i="2"/>
  <c r="Q128" i="2"/>
  <c r="R128" i="2"/>
  <c r="K129" i="2"/>
  <c r="L129" i="2"/>
  <c r="M129" i="2"/>
  <c r="N129" i="2"/>
  <c r="O129" i="2"/>
  <c r="P129" i="2"/>
  <c r="Q129" i="2"/>
  <c r="R129" i="2"/>
  <c r="K130" i="2"/>
  <c r="L130" i="2"/>
  <c r="M130" i="2"/>
  <c r="N130" i="2"/>
  <c r="O130" i="2"/>
  <c r="P130" i="2"/>
  <c r="Q130" i="2"/>
  <c r="R130" i="2"/>
  <c r="K131" i="2"/>
  <c r="L131" i="2"/>
  <c r="M131" i="2"/>
  <c r="N131" i="2"/>
  <c r="O131" i="2"/>
  <c r="P131" i="2"/>
  <c r="Q131" i="2"/>
  <c r="R131" i="2"/>
  <c r="K132" i="2"/>
  <c r="L132" i="2"/>
  <c r="M132" i="2"/>
  <c r="N132" i="2"/>
  <c r="O132" i="2"/>
  <c r="P132" i="2"/>
  <c r="Q132" i="2"/>
  <c r="R1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2" i="2"/>
  <c r="K2" i="1"/>
  <c r="L2" i="1"/>
  <c r="M2" i="1"/>
  <c r="N2" i="1"/>
  <c r="O2" i="1"/>
  <c r="P2" i="1"/>
  <c r="Q2" i="1"/>
  <c r="R2" i="1"/>
  <c r="K3" i="1"/>
  <c r="L3" i="1"/>
  <c r="M3" i="1"/>
  <c r="N3" i="1"/>
  <c r="O3" i="1"/>
  <c r="P3" i="1"/>
  <c r="Q3" i="1"/>
  <c r="R3" i="1"/>
  <c r="K4" i="1"/>
  <c r="L4" i="1"/>
  <c r="M4" i="1"/>
  <c r="N4" i="1"/>
  <c r="O4" i="1"/>
  <c r="P4" i="1"/>
  <c r="Q4" i="1"/>
  <c r="R4" i="1"/>
  <c r="K5" i="1"/>
  <c r="L5" i="1"/>
  <c r="M5" i="1"/>
  <c r="N5" i="1"/>
  <c r="O5" i="1"/>
  <c r="P5" i="1"/>
  <c r="Q5" i="1"/>
  <c r="R5" i="1"/>
  <c r="K6" i="1"/>
  <c r="L6" i="1"/>
  <c r="M6" i="1"/>
  <c r="N6" i="1"/>
  <c r="O6" i="1"/>
  <c r="P6" i="1"/>
  <c r="Q6" i="1"/>
  <c r="R6" i="1"/>
  <c r="K7" i="1"/>
  <c r="L7" i="1"/>
  <c r="M7" i="1"/>
  <c r="N7" i="1"/>
  <c r="O7" i="1"/>
  <c r="P7" i="1"/>
  <c r="Q7" i="1"/>
  <c r="R7" i="1"/>
  <c r="K8" i="1"/>
  <c r="L8" i="1"/>
  <c r="M8" i="1"/>
  <c r="N8" i="1"/>
  <c r="O8" i="1"/>
  <c r="P8" i="1"/>
  <c r="Q8" i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/>
  <c r="K11" i="1"/>
  <c r="L11" i="1"/>
  <c r="M11" i="1"/>
  <c r="N11" i="1"/>
  <c r="O11" i="1"/>
  <c r="P11" i="1"/>
  <c r="Q11" i="1"/>
  <c r="R11" i="1"/>
  <c r="K12" i="1"/>
  <c r="L12" i="1"/>
  <c r="M12" i="1"/>
  <c r="N12" i="1"/>
  <c r="O12" i="1"/>
  <c r="P12" i="1"/>
  <c r="Q12" i="1"/>
  <c r="R12" i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K32" i="1"/>
  <c r="L32" i="1"/>
  <c r="M32" i="1"/>
  <c r="N32" i="1"/>
  <c r="O32" i="1"/>
  <c r="P32" i="1"/>
  <c r="Q32" i="1"/>
  <c r="R32" i="1"/>
  <c r="K33" i="1"/>
  <c r="L33" i="1"/>
  <c r="M33" i="1"/>
  <c r="N33" i="1"/>
  <c r="O33" i="1"/>
  <c r="P33" i="1"/>
  <c r="Q33" i="1"/>
  <c r="R33" i="1"/>
  <c r="K34" i="1"/>
  <c r="L34" i="1"/>
  <c r="M34" i="1"/>
  <c r="N34" i="1"/>
  <c r="O34" i="1"/>
  <c r="P34" i="1"/>
  <c r="Q34" i="1"/>
  <c r="R34" i="1"/>
  <c r="K35" i="1"/>
  <c r="L35" i="1"/>
  <c r="M35" i="1"/>
  <c r="N35" i="1"/>
  <c r="O35" i="1"/>
  <c r="P35" i="1"/>
  <c r="Q35" i="1"/>
  <c r="R35" i="1"/>
  <c r="K36" i="1"/>
  <c r="L36" i="1"/>
  <c r="M36" i="1"/>
  <c r="N36" i="1"/>
  <c r="O36" i="1"/>
  <c r="P36" i="1"/>
  <c r="Q36" i="1"/>
  <c r="R36" i="1"/>
  <c r="K37" i="1"/>
  <c r="L37" i="1"/>
  <c r="M37" i="1"/>
  <c r="N37" i="1"/>
  <c r="O37" i="1"/>
  <c r="P37" i="1"/>
  <c r="Q37" i="1"/>
  <c r="R37" i="1"/>
  <c r="K38" i="1"/>
  <c r="L38" i="1"/>
  <c r="M38" i="1"/>
  <c r="N38" i="1"/>
  <c r="O38" i="1"/>
  <c r="P38" i="1"/>
  <c r="Q38" i="1"/>
  <c r="R38" i="1"/>
  <c r="K39" i="1"/>
  <c r="L39" i="1"/>
  <c r="M39" i="1"/>
  <c r="N39" i="1"/>
  <c r="O39" i="1"/>
  <c r="P39" i="1"/>
  <c r="Q39" i="1"/>
  <c r="R39" i="1"/>
  <c r="K40" i="1"/>
  <c r="L40" i="1"/>
  <c r="M40" i="1"/>
  <c r="N40" i="1"/>
  <c r="O40" i="1"/>
  <c r="P40" i="1"/>
  <c r="Q40" i="1"/>
  <c r="R40" i="1"/>
  <c r="K41" i="1"/>
  <c r="L41" i="1"/>
  <c r="M41" i="1"/>
  <c r="N41" i="1"/>
  <c r="O41" i="1"/>
  <c r="P41" i="1"/>
  <c r="Q41" i="1"/>
  <c r="R41" i="1"/>
  <c r="K42" i="1"/>
  <c r="L42" i="1"/>
  <c r="M42" i="1"/>
  <c r="N42" i="1"/>
  <c r="O42" i="1"/>
  <c r="P42" i="1"/>
  <c r="Q42" i="1"/>
  <c r="R42" i="1"/>
  <c r="K43" i="1"/>
  <c r="L43" i="1"/>
  <c r="M43" i="1"/>
  <c r="N43" i="1"/>
  <c r="O43" i="1"/>
  <c r="P43" i="1"/>
  <c r="Q43" i="1"/>
  <c r="R43" i="1"/>
  <c r="K44" i="1"/>
  <c r="L44" i="1"/>
  <c r="M44" i="1"/>
  <c r="N44" i="1"/>
  <c r="O44" i="1"/>
  <c r="P44" i="1"/>
  <c r="Q44" i="1"/>
  <c r="R44" i="1"/>
  <c r="K45" i="1"/>
  <c r="L45" i="1"/>
  <c r="M45" i="1"/>
  <c r="N45" i="1"/>
  <c r="O45" i="1"/>
  <c r="P45" i="1"/>
  <c r="Q45" i="1"/>
  <c r="R45" i="1"/>
  <c r="K46" i="1"/>
  <c r="L46" i="1"/>
  <c r="M46" i="1"/>
  <c r="N46" i="1"/>
  <c r="O46" i="1"/>
  <c r="P46" i="1"/>
  <c r="Q46" i="1"/>
  <c r="R46" i="1"/>
  <c r="K47" i="1"/>
  <c r="L47" i="1"/>
  <c r="M47" i="1"/>
  <c r="N47" i="1"/>
  <c r="O47" i="1"/>
  <c r="P47" i="1"/>
  <c r="Q47" i="1"/>
  <c r="R47" i="1"/>
  <c r="K48" i="1"/>
  <c r="L48" i="1"/>
  <c r="M48" i="1"/>
  <c r="N48" i="1"/>
  <c r="O48" i="1"/>
  <c r="P48" i="1"/>
  <c r="Q48" i="1"/>
  <c r="R48" i="1"/>
  <c r="K49" i="1"/>
  <c r="L49" i="1"/>
  <c r="M49" i="1"/>
  <c r="N49" i="1"/>
  <c r="O49" i="1"/>
  <c r="P49" i="1"/>
  <c r="Q49" i="1"/>
  <c r="R49" i="1"/>
  <c r="K50" i="1"/>
  <c r="L50" i="1"/>
  <c r="M50" i="1"/>
  <c r="N50" i="1"/>
  <c r="O50" i="1"/>
  <c r="P50" i="1"/>
  <c r="Q50" i="1"/>
  <c r="R50" i="1"/>
  <c r="K51" i="1"/>
  <c r="L51" i="1"/>
  <c r="M51" i="1"/>
  <c r="N51" i="1"/>
  <c r="O51" i="1"/>
  <c r="P51" i="1"/>
  <c r="Q51" i="1"/>
  <c r="R51" i="1"/>
  <c r="K52" i="1"/>
  <c r="L52" i="1"/>
  <c r="M52" i="1"/>
  <c r="N52" i="1"/>
  <c r="O52" i="1"/>
  <c r="P52" i="1"/>
  <c r="Q52" i="1"/>
  <c r="R52" i="1"/>
  <c r="K53" i="1"/>
  <c r="L53" i="1"/>
  <c r="M53" i="1"/>
  <c r="N53" i="1"/>
  <c r="O53" i="1"/>
  <c r="P53" i="1"/>
  <c r="Q53" i="1"/>
  <c r="R53" i="1"/>
  <c r="K54" i="1"/>
  <c r="L54" i="1"/>
  <c r="M54" i="1"/>
  <c r="N54" i="1"/>
  <c r="O54" i="1"/>
  <c r="P54" i="1"/>
  <c r="Q54" i="1"/>
  <c r="R54" i="1"/>
  <c r="K55" i="1"/>
  <c r="L55" i="1"/>
  <c r="M55" i="1"/>
  <c r="N55" i="1"/>
  <c r="O55" i="1"/>
  <c r="P55" i="1"/>
  <c r="Q55" i="1"/>
  <c r="R55" i="1"/>
  <c r="K56" i="1"/>
  <c r="L56" i="1"/>
  <c r="M56" i="1"/>
  <c r="N56" i="1"/>
  <c r="O56" i="1"/>
  <c r="P56" i="1"/>
  <c r="Q56" i="1"/>
  <c r="R56" i="1"/>
  <c r="K57" i="1"/>
  <c r="L57" i="1"/>
  <c r="M57" i="1"/>
  <c r="N57" i="1"/>
  <c r="O57" i="1"/>
  <c r="P57" i="1"/>
  <c r="Q57" i="1"/>
  <c r="R57" i="1"/>
  <c r="K58" i="1"/>
  <c r="L58" i="1"/>
  <c r="M58" i="1"/>
  <c r="N58" i="1"/>
  <c r="O58" i="1"/>
  <c r="P58" i="1"/>
  <c r="Q58" i="1"/>
  <c r="R58" i="1"/>
  <c r="K59" i="1"/>
  <c r="L59" i="1"/>
  <c r="M59" i="1"/>
  <c r="N59" i="1"/>
  <c r="O59" i="1"/>
  <c r="P59" i="1"/>
  <c r="Q59" i="1"/>
  <c r="R59" i="1"/>
  <c r="K60" i="1"/>
  <c r="L60" i="1"/>
  <c r="M60" i="1"/>
  <c r="N60" i="1"/>
  <c r="O60" i="1"/>
  <c r="P60" i="1"/>
  <c r="Q60" i="1"/>
  <c r="R60" i="1"/>
  <c r="K61" i="1"/>
  <c r="L61" i="1"/>
  <c r="M61" i="1"/>
  <c r="N61" i="1"/>
  <c r="O61" i="1"/>
  <c r="P61" i="1"/>
  <c r="Q61" i="1"/>
  <c r="R61" i="1"/>
  <c r="K62" i="1"/>
  <c r="L62" i="1"/>
  <c r="M62" i="1"/>
  <c r="N62" i="1"/>
  <c r="O62" i="1"/>
  <c r="P62" i="1"/>
  <c r="Q62" i="1"/>
  <c r="R62" i="1"/>
  <c r="K63" i="1"/>
  <c r="L63" i="1"/>
  <c r="M63" i="1"/>
  <c r="N63" i="1"/>
  <c r="O63" i="1"/>
  <c r="P63" i="1"/>
  <c r="Q63" i="1"/>
  <c r="R63" i="1"/>
  <c r="K64" i="1"/>
  <c r="L64" i="1"/>
  <c r="M64" i="1"/>
  <c r="N64" i="1"/>
  <c r="O64" i="1"/>
  <c r="P64" i="1"/>
  <c r="Q64" i="1"/>
  <c r="R64" i="1"/>
  <c r="K65" i="1"/>
  <c r="L65" i="1"/>
  <c r="M65" i="1"/>
  <c r="N65" i="1"/>
  <c r="O65" i="1"/>
  <c r="P65" i="1"/>
  <c r="Q65" i="1"/>
  <c r="R65" i="1"/>
  <c r="K66" i="1"/>
  <c r="L66" i="1"/>
  <c r="M66" i="1"/>
  <c r="N66" i="1"/>
  <c r="O66" i="1"/>
  <c r="P66" i="1"/>
  <c r="Q66" i="1"/>
  <c r="R66" i="1"/>
  <c r="K67" i="1"/>
  <c r="L67" i="1"/>
  <c r="M67" i="1"/>
  <c r="N67" i="1"/>
  <c r="O67" i="1"/>
  <c r="P67" i="1"/>
  <c r="Q67" i="1"/>
  <c r="R67" i="1"/>
  <c r="K68" i="1"/>
  <c r="L68" i="1"/>
  <c r="M68" i="1"/>
  <c r="N68" i="1"/>
  <c r="O68" i="1"/>
  <c r="P68" i="1"/>
  <c r="Q68" i="1"/>
  <c r="R68" i="1"/>
  <c r="K69" i="1"/>
  <c r="L69" i="1"/>
  <c r="M69" i="1"/>
  <c r="N69" i="1"/>
  <c r="O69" i="1"/>
  <c r="P69" i="1"/>
  <c r="Q69" i="1"/>
  <c r="R69" i="1"/>
  <c r="K70" i="1"/>
  <c r="L70" i="1"/>
  <c r="M70" i="1"/>
  <c r="N70" i="1"/>
  <c r="O70" i="1"/>
  <c r="P70" i="1"/>
  <c r="Q70" i="1"/>
  <c r="R70" i="1"/>
  <c r="K71" i="1"/>
  <c r="L71" i="1"/>
  <c r="M71" i="1"/>
  <c r="N71" i="1"/>
  <c r="O71" i="1"/>
  <c r="P71" i="1"/>
  <c r="Q71" i="1"/>
  <c r="R71" i="1"/>
  <c r="K72" i="1"/>
  <c r="L72" i="1"/>
  <c r="M72" i="1"/>
  <c r="N72" i="1"/>
  <c r="O72" i="1"/>
  <c r="P72" i="1"/>
  <c r="Q72" i="1"/>
  <c r="R72" i="1"/>
  <c r="K73" i="1"/>
  <c r="L73" i="1"/>
  <c r="M73" i="1"/>
  <c r="N73" i="1"/>
  <c r="O73" i="1"/>
  <c r="P73" i="1"/>
  <c r="Q73" i="1"/>
  <c r="R73" i="1"/>
  <c r="K74" i="1"/>
  <c r="L74" i="1"/>
  <c r="M74" i="1"/>
  <c r="N74" i="1"/>
  <c r="O74" i="1"/>
  <c r="P74" i="1"/>
  <c r="Q74" i="1"/>
  <c r="R74" i="1"/>
  <c r="K75" i="1"/>
  <c r="L75" i="1"/>
  <c r="M75" i="1"/>
  <c r="N75" i="1"/>
  <c r="O75" i="1"/>
  <c r="P75" i="1"/>
  <c r="Q75" i="1"/>
  <c r="R75" i="1"/>
  <c r="K76" i="1"/>
  <c r="L76" i="1"/>
  <c r="M76" i="1"/>
  <c r="N76" i="1"/>
  <c r="O76" i="1"/>
  <c r="P76" i="1"/>
  <c r="Q76" i="1"/>
  <c r="R76" i="1"/>
  <c r="K77" i="1"/>
  <c r="L77" i="1"/>
  <c r="M77" i="1"/>
  <c r="N77" i="1"/>
  <c r="O77" i="1"/>
  <c r="P77" i="1"/>
  <c r="Q77" i="1"/>
  <c r="R77" i="1"/>
  <c r="K78" i="1"/>
  <c r="L78" i="1"/>
  <c r="M78" i="1"/>
  <c r="N78" i="1"/>
  <c r="O78" i="1"/>
  <c r="P78" i="1"/>
  <c r="Q78" i="1"/>
  <c r="R78" i="1"/>
  <c r="K79" i="1"/>
  <c r="L79" i="1"/>
  <c r="M79" i="1"/>
  <c r="N79" i="1"/>
  <c r="O79" i="1"/>
  <c r="P79" i="1"/>
  <c r="Q79" i="1"/>
  <c r="R79" i="1"/>
  <c r="K80" i="1"/>
  <c r="L80" i="1"/>
  <c r="M80" i="1"/>
  <c r="N80" i="1"/>
  <c r="O80" i="1"/>
  <c r="P80" i="1"/>
  <c r="Q80" i="1"/>
  <c r="R80" i="1"/>
  <c r="K81" i="1"/>
  <c r="L81" i="1"/>
  <c r="M81" i="1"/>
  <c r="N81" i="1"/>
  <c r="O81" i="1"/>
  <c r="P81" i="1"/>
  <c r="Q81" i="1"/>
  <c r="R81" i="1"/>
  <c r="K82" i="1"/>
  <c r="L82" i="1"/>
  <c r="M82" i="1"/>
  <c r="N82" i="1"/>
  <c r="O82" i="1"/>
  <c r="P82" i="1"/>
  <c r="Q82" i="1"/>
  <c r="R82" i="1"/>
  <c r="K83" i="1"/>
  <c r="L83" i="1"/>
  <c r="M83" i="1"/>
  <c r="N83" i="1"/>
  <c r="O83" i="1"/>
  <c r="P83" i="1"/>
  <c r="Q83" i="1"/>
  <c r="R83" i="1"/>
  <c r="K84" i="1"/>
  <c r="L84" i="1"/>
  <c r="M84" i="1"/>
  <c r="N84" i="1"/>
  <c r="O84" i="1"/>
  <c r="P84" i="1"/>
  <c r="Q84" i="1"/>
  <c r="R84" i="1"/>
  <c r="K85" i="1"/>
  <c r="L85" i="1"/>
  <c r="M85" i="1"/>
  <c r="N85" i="1"/>
  <c r="O85" i="1"/>
  <c r="P85" i="1"/>
  <c r="Q85" i="1"/>
  <c r="R85" i="1"/>
  <c r="K86" i="1"/>
  <c r="L86" i="1"/>
  <c r="M86" i="1"/>
  <c r="N86" i="1"/>
  <c r="O86" i="1"/>
  <c r="P86" i="1"/>
  <c r="Q86" i="1"/>
  <c r="R86" i="1"/>
  <c r="K87" i="1"/>
  <c r="L87" i="1"/>
  <c r="M87" i="1"/>
  <c r="N87" i="1"/>
  <c r="O87" i="1"/>
  <c r="P87" i="1"/>
  <c r="Q87" i="1"/>
  <c r="R87" i="1"/>
  <c r="K88" i="1"/>
  <c r="L88" i="1"/>
  <c r="M88" i="1"/>
  <c r="N88" i="1"/>
  <c r="O88" i="1"/>
  <c r="P88" i="1"/>
  <c r="Q88" i="1"/>
  <c r="R88" i="1"/>
  <c r="K89" i="1"/>
  <c r="L89" i="1"/>
  <c r="M89" i="1"/>
  <c r="N89" i="1"/>
  <c r="O89" i="1"/>
  <c r="P89" i="1"/>
  <c r="Q89" i="1"/>
  <c r="R89" i="1"/>
  <c r="K90" i="1"/>
  <c r="L90" i="1"/>
  <c r="M90" i="1"/>
  <c r="N90" i="1"/>
  <c r="O90" i="1"/>
  <c r="P90" i="1"/>
  <c r="Q90" i="1"/>
  <c r="R90" i="1"/>
  <c r="K91" i="1"/>
  <c r="L91" i="1"/>
  <c r="M91" i="1"/>
  <c r="N91" i="1"/>
  <c r="O91" i="1"/>
  <c r="P91" i="1"/>
  <c r="Q91" i="1"/>
  <c r="R91" i="1"/>
  <c r="K92" i="1"/>
  <c r="L92" i="1"/>
  <c r="M92" i="1"/>
  <c r="N92" i="1"/>
  <c r="O92" i="1"/>
  <c r="P92" i="1"/>
  <c r="Q92" i="1"/>
  <c r="R92" i="1"/>
  <c r="K93" i="1"/>
  <c r="L93" i="1"/>
  <c r="M93" i="1"/>
  <c r="N93" i="1"/>
  <c r="O93" i="1"/>
  <c r="P93" i="1"/>
  <c r="Q93" i="1"/>
  <c r="R93" i="1"/>
  <c r="K94" i="1"/>
  <c r="L94" i="1"/>
  <c r="M94" i="1"/>
  <c r="N94" i="1"/>
  <c r="O94" i="1"/>
  <c r="P94" i="1"/>
  <c r="Q94" i="1"/>
  <c r="R94" i="1"/>
  <c r="K95" i="1"/>
  <c r="L95" i="1"/>
  <c r="M95" i="1"/>
  <c r="N95" i="1"/>
  <c r="O95" i="1"/>
  <c r="P95" i="1"/>
  <c r="Q95" i="1"/>
  <c r="R95" i="1"/>
  <c r="K96" i="1"/>
  <c r="L96" i="1"/>
  <c r="M96" i="1"/>
  <c r="N96" i="1"/>
  <c r="O96" i="1"/>
  <c r="P96" i="1"/>
  <c r="Q96" i="1"/>
  <c r="R96" i="1"/>
  <c r="K97" i="1"/>
  <c r="L97" i="1"/>
  <c r="M97" i="1"/>
  <c r="N97" i="1"/>
  <c r="O97" i="1"/>
  <c r="P97" i="1"/>
  <c r="Q97" i="1"/>
  <c r="R97" i="1"/>
  <c r="K98" i="1"/>
  <c r="L98" i="1"/>
  <c r="M98" i="1"/>
  <c r="N98" i="1"/>
  <c r="O98" i="1"/>
  <c r="P98" i="1"/>
  <c r="Q98" i="1"/>
  <c r="R98" i="1"/>
  <c r="K99" i="1"/>
  <c r="L99" i="1"/>
  <c r="M99" i="1"/>
  <c r="N99" i="1"/>
  <c r="O99" i="1"/>
  <c r="P99" i="1"/>
  <c r="Q99" i="1"/>
  <c r="R99" i="1"/>
  <c r="K100" i="1"/>
  <c r="L100" i="1"/>
  <c r="M100" i="1"/>
  <c r="N100" i="1"/>
  <c r="O100" i="1"/>
  <c r="P100" i="1"/>
  <c r="Q100" i="1"/>
  <c r="R100" i="1"/>
  <c r="K101" i="1"/>
  <c r="L101" i="1"/>
  <c r="M101" i="1"/>
  <c r="N101" i="1"/>
  <c r="O101" i="1"/>
  <c r="P101" i="1"/>
  <c r="Q101" i="1"/>
  <c r="R101" i="1"/>
  <c r="K102" i="1"/>
  <c r="L102" i="1"/>
  <c r="M102" i="1"/>
  <c r="N102" i="1"/>
  <c r="O102" i="1"/>
  <c r="P102" i="1"/>
  <c r="Q102" i="1"/>
  <c r="R102" i="1"/>
  <c r="K103" i="1"/>
  <c r="L103" i="1"/>
  <c r="M103" i="1"/>
  <c r="N103" i="1"/>
  <c r="O103" i="1"/>
  <c r="P103" i="1"/>
  <c r="Q103" i="1"/>
  <c r="R103" i="1"/>
  <c r="K104" i="1"/>
  <c r="L104" i="1"/>
  <c r="M104" i="1"/>
  <c r="N104" i="1"/>
  <c r="O104" i="1"/>
  <c r="P104" i="1"/>
  <c r="Q104" i="1"/>
  <c r="R104" i="1"/>
  <c r="K105" i="1"/>
  <c r="L105" i="1"/>
  <c r="M105" i="1"/>
  <c r="N105" i="1"/>
  <c r="O105" i="1"/>
  <c r="P105" i="1"/>
  <c r="Q105" i="1"/>
  <c r="R105" i="1"/>
  <c r="K106" i="1"/>
  <c r="L106" i="1"/>
  <c r="M106" i="1"/>
  <c r="N106" i="1"/>
  <c r="O106" i="1"/>
  <c r="P106" i="1"/>
  <c r="Q106" i="1"/>
  <c r="R106" i="1"/>
  <c r="K107" i="1"/>
  <c r="L107" i="1"/>
  <c r="M107" i="1"/>
  <c r="N107" i="1"/>
  <c r="O107" i="1"/>
  <c r="P107" i="1"/>
  <c r="Q107" i="1"/>
  <c r="R107" i="1"/>
  <c r="K108" i="1"/>
  <c r="L108" i="1"/>
  <c r="M108" i="1"/>
  <c r="N108" i="1"/>
  <c r="O108" i="1"/>
  <c r="P108" i="1"/>
  <c r="Q108" i="1"/>
  <c r="R108" i="1"/>
  <c r="K109" i="1"/>
  <c r="L109" i="1"/>
  <c r="M109" i="1"/>
  <c r="N109" i="1"/>
  <c r="O109" i="1"/>
  <c r="P109" i="1"/>
  <c r="Q109" i="1"/>
  <c r="R109" i="1"/>
  <c r="K110" i="1"/>
  <c r="L110" i="1"/>
  <c r="M110" i="1"/>
  <c r="N110" i="1"/>
  <c r="O110" i="1"/>
  <c r="P110" i="1"/>
  <c r="Q110" i="1"/>
  <c r="R110" i="1"/>
  <c r="K111" i="1"/>
  <c r="L111" i="1"/>
  <c r="M111" i="1"/>
  <c r="N111" i="1"/>
  <c r="O111" i="1"/>
  <c r="P111" i="1"/>
  <c r="Q111" i="1"/>
  <c r="R111" i="1"/>
  <c r="K112" i="1"/>
  <c r="L112" i="1"/>
  <c r="M112" i="1"/>
  <c r="N112" i="1"/>
  <c r="O112" i="1"/>
  <c r="P112" i="1"/>
  <c r="Q112" i="1"/>
  <c r="R112" i="1"/>
  <c r="K113" i="1"/>
  <c r="L113" i="1"/>
  <c r="M113" i="1"/>
  <c r="N113" i="1"/>
  <c r="O113" i="1"/>
  <c r="P113" i="1"/>
  <c r="Q113" i="1"/>
  <c r="R113" i="1"/>
  <c r="K114" i="1"/>
  <c r="L114" i="1"/>
  <c r="M114" i="1"/>
  <c r="N114" i="1"/>
  <c r="O114" i="1"/>
  <c r="P114" i="1"/>
  <c r="Q114" i="1"/>
  <c r="R114" i="1"/>
  <c r="K115" i="1"/>
  <c r="L115" i="1"/>
  <c r="M115" i="1"/>
  <c r="N115" i="1"/>
  <c r="O115" i="1"/>
  <c r="P115" i="1"/>
  <c r="Q115" i="1"/>
  <c r="R115" i="1"/>
  <c r="K116" i="1"/>
  <c r="L116" i="1"/>
  <c r="M116" i="1"/>
  <c r="N116" i="1"/>
  <c r="O116" i="1"/>
  <c r="P116" i="1"/>
  <c r="Q116" i="1"/>
  <c r="R116" i="1"/>
  <c r="K117" i="1"/>
  <c r="L117" i="1"/>
  <c r="M117" i="1"/>
  <c r="N117" i="1"/>
  <c r="O117" i="1"/>
  <c r="P117" i="1"/>
  <c r="Q117" i="1"/>
  <c r="R117" i="1"/>
  <c r="K118" i="1"/>
  <c r="L118" i="1"/>
  <c r="M118" i="1"/>
  <c r="N118" i="1"/>
  <c r="O118" i="1"/>
  <c r="P118" i="1"/>
  <c r="Q118" i="1"/>
  <c r="R118" i="1"/>
  <c r="K119" i="1"/>
  <c r="L119" i="1"/>
  <c r="M119" i="1"/>
  <c r="N119" i="1"/>
  <c r="O119" i="1"/>
  <c r="P119" i="1"/>
  <c r="Q119" i="1"/>
  <c r="R119" i="1"/>
  <c r="K120" i="1"/>
  <c r="L120" i="1"/>
  <c r="M120" i="1"/>
  <c r="N120" i="1"/>
  <c r="O120" i="1"/>
  <c r="P120" i="1"/>
  <c r="Q120" i="1"/>
  <c r="R120" i="1"/>
  <c r="K121" i="1"/>
  <c r="L121" i="1"/>
  <c r="M121" i="1"/>
  <c r="N121" i="1"/>
  <c r="O121" i="1"/>
  <c r="P121" i="1"/>
  <c r="Q121" i="1"/>
  <c r="R121" i="1"/>
  <c r="K122" i="1"/>
  <c r="L122" i="1"/>
  <c r="M122" i="1"/>
  <c r="N122" i="1"/>
  <c r="O122" i="1"/>
  <c r="P122" i="1"/>
  <c r="Q122" i="1"/>
  <c r="R122" i="1"/>
  <c r="K123" i="1"/>
  <c r="L123" i="1"/>
  <c r="M123" i="1"/>
  <c r="N123" i="1"/>
  <c r="O123" i="1"/>
  <c r="P123" i="1"/>
  <c r="Q123" i="1"/>
  <c r="R123" i="1"/>
  <c r="K124" i="1"/>
  <c r="L124" i="1"/>
  <c r="M124" i="1"/>
  <c r="N124" i="1"/>
  <c r="O124" i="1"/>
  <c r="P124" i="1"/>
  <c r="Q124" i="1"/>
  <c r="R124" i="1"/>
  <c r="K125" i="1"/>
  <c r="L125" i="1"/>
  <c r="M125" i="1"/>
  <c r="N125" i="1"/>
  <c r="O125" i="1"/>
  <c r="P125" i="1"/>
  <c r="Q125" i="1"/>
  <c r="R125" i="1"/>
  <c r="K126" i="1"/>
  <c r="L126" i="1"/>
  <c r="M126" i="1"/>
  <c r="N126" i="1"/>
  <c r="O126" i="1"/>
  <c r="P126" i="1"/>
  <c r="Q126" i="1"/>
  <c r="R126" i="1"/>
  <c r="K127" i="1"/>
  <c r="L127" i="1"/>
  <c r="M127" i="1"/>
  <c r="N127" i="1"/>
  <c r="O127" i="1"/>
  <c r="P127" i="1"/>
  <c r="Q127" i="1"/>
  <c r="R127" i="1"/>
  <c r="K128" i="1"/>
  <c r="L128" i="1"/>
  <c r="M128" i="1"/>
  <c r="N128" i="1"/>
  <c r="O128" i="1"/>
  <c r="P128" i="1"/>
  <c r="Q128" i="1"/>
  <c r="R128" i="1"/>
  <c r="K129" i="1"/>
  <c r="L129" i="1"/>
  <c r="M129" i="1"/>
  <c r="N129" i="1"/>
  <c r="O129" i="1"/>
  <c r="P129" i="1"/>
  <c r="Q129" i="1"/>
  <c r="R129" i="1"/>
  <c r="K130" i="1"/>
  <c r="L130" i="1"/>
  <c r="M130" i="1"/>
  <c r="N130" i="1"/>
  <c r="O130" i="1"/>
  <c r="P130" i="1"/>
  <c r="Q130" i="1"/>
  <c r="R130" i="1"/>
  <c r="K131" i="1"/>
  <c r="L131" i="1"/>
  <c r="M131" i="1"/>
  <c r="N131" i="1"/>
  <c r="O131" i="1"/>
  <c r="P131" i="1"/>
  <c r="Q131" i="1"/>
  <c r="R131" i="1"/>
  <c r="K132" i="1"/>
  <c r="L132" i="1"/>
  <c r="M132" i="1"/>
  <c r="N132" i="1"/>
  <c r="O132" i="1"/>
  <c r="P132" i="1"/>
  <c r="Q132" i="1"/>
  <c r="R132" i="1"/>
  <c r="K133" i="1"/>
  <c r="L133" i="1"/>
  <c r="M133" i="1"/>
  <c r="N133" i="1"/>
  <c r="O133" i="1"/>
  <c r="P133" i="1"/>
  <c r="Q133" i="1"/>
  <c r="R133" i="1"/>
  <c r="K134" i="1"/>
  <c r="L134" i="1"/>
  <c r="M134" i="1"/>
  <c r="N134" i="1"/>
  <c r="O134" i="1"/>
  <c r="P134" i="1"/>
  <c r="Q134" i="1"/>
  <c r="R134" i="1"/>
  <c r="K135" i="1"/>
  <c r="L135" i="1"/>
  <c r="M135" i="1"/>
  <c r="N135" i="1"/>
  <c r="O135" i="1"/>
  <c r="P135" i="1"/>
  <c r="Q135" i="1"/>
  <c r="R135" i="1"/>
  <c r="K136" i="1"/>
  <c r="L136" i="1"/>
  <c r="M136" i="1"/>
  <c r="N136" i="1"/>
  <c r="O136" i="1"/>
  <c r="P136" i="1"/>
  <c r="Q136" i="1"/>
  <c r="R136" i="1"/>
  <c r="K137" i="1"/>
  <c r="L137" i="1"/>
  <c r="M137" i="1"/>
  <c r="N137" i="1"/>
  <c r="O137" i="1"/>
  <c r="P137" i="1"/>
  <c r="Q137" i="1"/>
  <c r="R137" i="1"/>
  <c r="K138" i="1"/>
  <c r="L138" i="1"/>
  <c r="M138" i="1"/>
  <c r="N138" i="1"/>
  <c r="O138" i="1"/>
  <c r="P138" i="1"/>
  <c r="Q138" i="1"/>
  <c r="R138" i="1"/>
  <c r="K139" i="1"/>
  <c r="L139" i="1"/>
  <c r="M139" i="1"/>
  <c r="N139" i="1"/>
  <c r="O139" i="1"/>
  <c r="P139" i="1"/>
  <c r="Q139" i="1"/>
  <c r="R139" i="1"/>
  <c r="K140" i="1"/>
  <c r="L140" i="1"/>
  <c r="M140" i="1"/>
  <c r="N140" i="1"/>
  <c r="O140" i="1"/>
  <c r="Q140" i="1"/>
  <c r="R140" i="1"/>
  <c r="L141" i="1"/>
  <c r="N141" i="1"/>
  <c r="O141" i="1"/>
  <c r="Q141" i="1"/>
  <c r="R141" i="1"/>
  <c r="L142" i="1"/>
  <c r="N142" i="1"/>
  <c r="O142" i="1"/>
  <c r="Q142" i="1"/>
  <c r="R142" i="1"/>
  <c r="L143" i="1"/>
  <c r="N143" i="1"/>
  <c r="O143" i="1"/>
  <c r="Q143" i="1"/>
  <c r="R143" i="1"/>
  <c r="L144" i="1"/>
  <c r="O144" i="1"/>
  <c r="Q144" i="1"/>
  <c r="R1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2" i="1"/>
</calcChain>
</file>

<file path=xl/sharedStrings.xml><?xml version="1.0" encoding="utf-8"?>
<sst xmlns="http://schemas.openxmlformats.org/spreadsheetml/2006/main" count="2776" uniqueCount="2592">
  <si>
    <t>48. Bulgaria( 26,639)</t>
  </si>
  <si>
    <t>47. Russia( 27,634)</t>
  </si>
  <si>
    <t>46. Malaysia( 27,926)</t>
  </si>
  <si>
    <t>45. Greece( 31,139)</t>
  </si>
  <si>
    <t>44. Romania( 32,515)</t>
  </si>
  <si>
    <t>43. Latvia( 32,633)</t>
  </si>
  <si>
    <t>42. Turkiye( 32,753)</t>
  </si>
  <si>
    <t>41. Panama( 32,766)</t>
  </si>
  <si>
    <t>40. Slovakia( 33,127)</t>
  </si>
  <si>
    <t>39. Croatia( 33,562)</t>
  </si>
  <si>
    <t>38. Hungary( 34,732)</t>
  </si>
  <si>
    <t>37. Portugal( 35,282)</t>
  </si>
  <si>
    <t>36. Poland( 36,321)</t>
  </si>
  <si>
    <t>35. Estonia( 37,822)</t>
  </si>
  <si>
    <t>34. Lithuania( 39,349)</t>
  </si>
  <si>
    <t>33. Spain( 39,406)</t>
  </si>
  <si>
    <t>32. Czechia( 41,371)</t>
  </si>
  <si>
    <t>31. Slovenia( 41,658)</t>
  </si>
  <si>
    <t>30. Japan( 41,672)</t>
  </si>
  <si>
    <t>29. Cyprus( 42,647)</t>
  </si>
  <si>
    <t>28. Italy( 43,429)</t>
  </si>
  <si>
    <t>27. Israel( 43,776)</t>
  </si>
  <si>
    <t>26. New Zealand( 44,715)</t>
  </si>
  <si>
    <t>25. South Korea( 45,313)</t>
  </si>
  <si>
    <t>24. France( 45,750)</t>
  </si>
  <si>
    <t>23. United Kingdom( 46,260)</t>
  </si>
  <si>
    <t>22. Malta( 46,889)</t>
  </si>
  <si>
    <t>21. Canada( 48,637)</t>
  </si>
  <si>
    <t>20. Saudi Arabia( 49,011)</t>
  </si>
  <si>
    <t>19. Finland( 49,244)</t>
  </si>
  <si>
    <t>18. Kuwait( 49,388)</t>
  </si>
  <si>
    <t>17. Australia( 50,703)</t>
  </si>
  <si>
    <t>16. Belgium( 52,743)</t>
  </si>
  <si>
    <t>15. Bahrain( 52,937)</t>
  </si>
  <si>
    <t>14. Germany( 53,243)</t>
  </si>
  <si>
    <t>13. Sweden( 54,291)</t>
  </si>
  <si>
    <t>12. Iceland( 54,692)</t>
  </si>
  <si>
    <t>11. Austria( 55,409)</t>
  </si>
  <si>
    <t>10. Netherlands( 57,904)</t>
  </si>
  <si>
    <t>9. Denmark( 59,100)</t>
  </si>
  <si>
    <t>8. Hong Kong S.A.R. of China( 59,254)</t>
  </si>
  <si>
    <t>7. United States( 64,595)</t>
  </si>
  <si>
    <t>6. Norway( 67,061)</t>
  </si>
  <si>
    <t>5. Switzerland( 70,670)</t>
  </si>
  <si>
    <t>4. United Arab Emirates( 73,318)</t>
  </si>
  <si>
    <t>3. Singapore(107,891)</t>
  </si>
  <si>
    <t>2. Ireland(111,256)</t>
  </si>
  <si>
    <t>1. Luxembourg(115,041)</t>
  </si>
  <si>
    <t>96. Bolivia( 8,185)</t>
  </si>
  <si>
    <t>95. Philippines( 8,541)</t>
  </si>
  <si>
    <t>94. Iraq( 8,961)</t>
  </si>
  <si>
    <t>93. Eswatini( 9,132)</t>
  </si>
  <si>
    <t>92. Guatemala( 9,243)</t>
  </si>
  <si>
    <t>91. Jordan( 9,316)</t>
  </si>
  <si>
    <t>90. El Salvador( 9,391)</t>
  </si>
  <si>
    <t>89. Namibia( 9,425)</t>
  </si>
  <si>
    <t>88. Jamaica( 9,806)</t>
  </si>
  <si>
    <t>87. Tunisia( 10,571)</t>
  </si>
  <si>
    <t>86. Ecuador( 10,847)</t>
  </si>
  <si>
    <t>85. Algeria( 11,101)</t>
  </si>
  <si>
    <t>84. Vietnam( 11,324)</t>
  </si>
  <si>
    <t>83. Ukraine( 11,971)</t>
  </si>
  <si>
    <t>82. Mongolia( 12,067)</t>
  </si>
  <si>
    <t>81. Sri Lanka( 12,356)</t>
  </si>
  <si>
    <t>80. Indonesia( 12,375)</t>
  </si>
  <si>
    <t>79. Kosovo( 12,472)</t>
  </si>
  <si>
    <t>78. Egypt( 12,679)</t>
  </si>
  <si>
    <t>77. Peru( 12,702)</t>
  </si>
  <si>
    <t>76. Lebanon( 12,926)</t>
  </si>
  <si>
    <t>75. Moldova( 13,250)</t>
  </si>
  <si>
    <t>74. South Africa( 13,392)</t>
  </si>
  <si>
    <t>73. Paraguay( 13,743)</t>
  </si>
  <si>
    <t>72. Gabon( 13,953)</t>
  </si>
  <si>
    <t>71. Brazil( 15,035)</t>
  </si>
  <si>
    <t>70. Azerbaijan( 15,181)</t>
  </si>
  <si>
    <t>69. Iran( 15,281)</t>
  </si>
  <si>
    <t>68. Colombia( 15,356)</t>
  </si>
  <si>
    <t>67. Albania( 15,399)</t>
  </si>
  <si>
    <t>66. Armenia( 15,652)</t>
  </si>
  <si>
    <t>65. Botswana( 15,702)</t>
  </si>
  <si>
    <t>64. Bosnia and Herzegovina( 16,629)</t>
  </si>
  <si>
    <t>63. Georgia( 16,733)</t>
  </si>
  <si>
    <t>62. North Macedonia( 17,140)</t>
  </si>
  <si>
    <t>61. Thailand( 17,582)</t>
  </si>
  <si>
    <t>60. China( 18,230)</t>
  </si>
  <si>
    <t>59. Dominican Republic( 19,295)</t>
  </si>
  <si>
    <t>58. Mexico( 19,520)</t>
  </si>
  <si>
    <t>57. Libya( 19,797)</t>
  </si>
  <si>
    <t>56. Serbia( 20,498)</t>
  </si>
  <si>
    <t>55. Costa Rica( 21,882)</t>
  </si>
  <si>
    <t>54. Argentina( 21,951)</t>
  </si>
  <si>
    <t>53. Mauritius( 22,502)</t>
  </si>
  <si>
    <t>52. Montenegro( 22,509)</t>
  </si>
  <si>
    <t>51. Uruguay( 24,182)</t>
  </si>
  <si>
    <t>50. Chile( 25,671)</t>
  </si>
  <si>
    <t>49. Kazakhstan( 26,119)</t>
  </si>
  <si>
    <t>139. Congo (Kinshasa)( 1,158)</t>
  </si>
  <si>
    <t>138. Mozambique( 1,247)</t>
  </si>
  <si>
    <t>137. Niger( 1,295)</t>
  </si>
  <si>
    <t>136. Chad( 1,413)</t>
  </si>
  <si>
    <t>135. Malawi( 1,469)</t>
  </si>
  <si>
    <t>134. Liberia( 1,477)</t>
  </si>
  <si>
    <t>133. Madagascar( 1,516)</t>
  </si>
  <si>
    <t>132. Afghanistan( 1,517)</t>
  </si>
  <si>
    <t>131. Sierra Leone( 1,635)</t>
  </si>
  <si>
    <t>130. Mali( 2,134)</t>
  </si>
  <si>
    <t>129. Zimbabwe( 2,140)</t>
  </si>
  <si>
    <t>128. Gambia( 2,152)</t>
  </si>
  <si>
    <t>127. Burkina Faso( 2,186)</t>
  </si>
  <si>
    <t>126. Togo( 2,203)</t>
  </si>
  <si>
    <t>125. Lesotho( 2,282)</t>
  </si>
  <si>
    <t>124. Uganda( 2,290)</t>
  </si>
  <si>
    <t>123. Ethiopia( 2,422)</t>
  </si>
  <si>
    <t>122. Tanzania( 2,628)</t>
  </si>
  <si>
    <t>121. Guinea( 2,708)</t>
  </si>
  <si>
    <t>120. Congo (Brazzaville)( 3,231)</t>
  </si>
  <si>
    <t>119. Comoros( 3,261)</t>
  </si>
  <si>
    <t>118. Zambia( 3,293)</t>
  </si>
  <si>
    <t>117. Benin( 3,434)</t>
  </si>
  <si>
    <t>116. Senegal( 3,572)</t>
  </si>
  <si>
    <t>115. Cameroon( 3,738)</t>
  </si>
  <si>
    <t>114. Nepal( 3,983)</t>
  </si>
  <si>
    <t>113. Tajikistan( 4,119)</t>
  </si>
  <si>
    <t>112. Myanmar( 4,125)</t>
  </si>
  <si>
    <t>111. Cambodia( 4,538)</t>
  </si>
  <si>
    <t>110. Kenya( 4,885)</t>
  </si>
  <si>
    <t>109. Nigeria( 4,956)</t>
  </si>
  <si>
    <t>108. Kyrgyzstan( 5,137)</t>
  </si>
  <si>
    <t>107. Pakistan( 5,351)</t>
  </si>
  <si>
    <t>106. Ghana( 5,474)</t>
  </si>
  <si>
    <t>105. Mauritania( 5,492)</t>
  </si>
  <si>
    <t>104. Ivory Coast( 5,531)</t>
  </si>
  <si>
    <t>103. Honduras( 5,701)</t>
  </si>
  <si>
    <t>102. Nicaragua( 5,809)</t>
  </si>
  <si>
    <t>101. Bangladesh( 6,228)</t>
  </si>
  <si>
    <t>100. India( 7,076)</t>
  </si>
  <si>
    <t>99. Laos( 7,986)</t>
  </si>
  <si>
    <t>98. Uzbekistan( 8,060)</t>
  </si>
  <si>
    <t>97. Morocco( 8,101)</t>
  </si>
  <si>
    <t>GDP</t>
  </si>
  <si>
    <t>48. France(0.876)</t>
  </si>
  <si>
    <t>47. Russia(0.878)</t>
  </si>
  <si>
    <t>46. Japan(0.879)</t>
  </si>
  <si>
    <t>45. Luxembourg(0.879)</t>
  </si>
  <si>
    <t>44. Mauritius(0.880)</t>
  </si>
  <si>
    <t>43. Saudi Arabia(0.881)</t>
  </si>
  <si>
    <t>42. Singapore(0.881)</t>
  </si>
  <si>
    <t>41. Kuwait(0.882)</t>
  </si>
  <si>
    <t>40. Portugal(0.884)</t>
  </si>
  <si>
    <t>39. Chile(0.884)</t>
  </si>
  <si>
    <t>38. South Africa(0.885)</t>
  </si>
  <si>
    <t>37. Costa Rica(0.886)</t>
  </si>
  <si>
    <t>36. Argentina(0.889)</t>
  </si>
  <si>
    <t>35. Germany(0.893)</t>
  </si>
  <si>
    <t>34. Ireland(0.893)</t>
  </si>
  <si>
    <t>33. Serbia(0.893)</t>
  </si>
  <si>
    <t>32. United States(0.893)</t>
  </si>
  <si>
    <t>31. Panama(0.893)</t>
  </si>
  <si>
    <t>30. Uzbekistan(0.894)</t>
  </si>
  <si>
    <t>29. Paraguay(0.900)</t>
  </si>
  <si>
    <t>28. Poland(0.903)</t>
  </si>
  <si>
    <t>27. Switzerland(0.906)</t>
  </si>
  <si>
    <t>26. Uruguay(0.909)</t>
  </si>
  <si>
    <t>25. Belgium(0.912)</t>
  </si>
  <si>
    <t>24. Malta(0.914)</t>
  </si>
  <si>
    <t>23. Croatia(0.914)</t>
  </si>
  <si>
    <t>22. Lithuania(0.917)</t>
  </si>
  <si>
    <t>21. Kazakhstan(0.919)</t>
  </si>
  <si>
    <t>20. Canada(0.919)</t>
  </si>
  <si>
    <t>19. Australia(0.920)</t>
  </si>
  <si>
    <t>18. Netherlands(0.921)</t>
  </si>
  <si>
    <t>17. Bulgaria(0.923)</t>
  </si>
  <si>
    <t>16. Spain(0.924)</t>
  </si>
  <si>
    <t>15. Kyrgyzstan(0.927)</t>
  </si>
  <si>
    <t>14. Sweden(0.936)</t>
  </si>
  <si>
    <t>13. Slovenia(0.936)</t>
  </si>
  <si>
    <t>12. Latvia(0.939)</t>
  </si>
  <si>
    <t>11. Mongolia(0.940)</t>
  </si>
  <si>
    <t>10. Czechia(0.940)</t>
  </si>
  <si>
    <t>9. Israel(0.941)</t>
  </si>
  <si>
    <t>8. Norway(0.942)</t>
  </si>
  <si>
    <t>7. Denmark(0.944)</t>
  </si>
  <si>
    <t>6. New Zealand(0.946)</t>
  </si>
  <si>
    <t>5. Estonia(0.946)</t>
  </si>
  <si>
    <t>4. Hungary(0.947)</t>
  </si>
  <si>
    <t>3. Slovakia(0.951)</t>
  </si>
  <si>
    <t>2. Finland(0.964)</t>
  </si>
  <si>
    <t>1. Iceland(0.981)</t>
  </si>
  <si>
    <t>96. Gabon(0.755)</t>
  </si>
  <si>
    <t>95. Nigeria(0.770)</t>
  </si>
  <si>
    <t>94. El Salvador(0.772)</t>
  </si>
  <si>
    <t>93. Libya(0.779)</t>
  </si>
  <si>
    <t>92. Iran(0.794)</t>
  </si>
  <si>
    <t>91. Malaysia(0.796)</t>
  </si>
  <si>
    <t>90. Philippines(0.797)</t>
  </si>
  <si>
    <t>89. Ecuador(0.799)</t>
  </si>
  <si>
    <t>88. Uganda(0.799)</t>
  </si>
  <si>
    <t>87. Armenia(0.801)</t>
  </si>
  <si>
    <t>86. United Arab Emirates(0.804)</t>
  </si>
  <si>
    <t>85. Guatemala(0.806)</t>
  </si>
  <si>
    <t>84. Turkiye(0.809)</t>
  </si>
  <si>
    <t>83. South Korea(0.810)</t>
  </si>
  <si>
    <t>82. Sri Lanka(0.810)</t>
  </si>
  <si>
    <t>81. Bolivia(0.810)</t>
  </si>
  <si>
    <t>80. Peru(0.811)</t>
  </si>
  <si>
    <t>79. Indonesia(0.812)</t>
  </si>
  <si>
    <t>78. Hong Kong S.A.R. of China(0.812)</t>
  </si>
  <si>
    <t>77. Algeria(0.815)</t>
  </si>
  <si>
    <t>76. Bahrain(0.816)</t>
  </si>
  <si>
    <t>75. Namibia(0.823)</t>
  </si>
  <si>
    <t>74. Cyprus(0.825)</t>
  </si>
  <si>
    <t>73. Romania(0.832)</t>
  </si>
  <si>
    <t>72. China(0.834)</t>
  </si>
  <si>
    <t>71. Colombia(0.834)</t>
  </si>
  <si>
    <t>70. Mexico(0.835)</t>
  </si>
  <si>
    <t>69. Nicaragua(0.843)</t>
  </si>
  <si>
    <t>68. Vietnam(0.845)</t>
  </si>
  <si>
    <t>67. State of Palestine(0.845)</t>
  </si>
  <si>
    <t>66. Brazil(0.845)</t>
  </si>
  <si>
    <t>65. Dominican Republic(0.846)</t>
  </si>
  <si>
    <t>64. Greece(0.848)</t>
  </si>
  <si>
    <t>63. North Macedonia(0.848)</t>
  </si>
  <si>
    <t>62. Kosovo(0.848)</t>
  </si>
  <si>
    <t>61. Moldova(0.849)</t>
  </si>
  <si>
    <t>60. Yemen(0.850)</t>
  </si>
  <si>
    <t>59. Ukraine(0.863)</t>
  </si>
  <si>
    <t>58. Montenegro(0.865)</t>
  </si>
  <si>
    <t>57. Bosnia and Herzegovina(0.865)</t>
  </si>
  <si>
    <t>56. Venezuela(0.866)</t>
  </si>
  <si>
    <t>55. Jamaica(0.867)</t>
  </si>
  <si>
    <t>54. United Kingdom(0.868)</t>
  </si>
  <si>
    <t>53. Italy(0.869)</t>
  </si>
  <si>
    <t>52. Austria(0.872)</t>
  </si>
  <si>
    <t>51. Tajikistan(0.873)</t>
  </si>
  <si>
    <t>50. Taiwan Province of China(0.875)</t>
  </si>
  <si>
    <t>49. Thailand(0.876)</t>
  </si>
  <si>
    <t>143. Afghanistan(0.350)</t>
  </si>
  <si>
    <t>142. Benin(0.400)</t>
  </si>
  <si>
    <t>141. Bangladesh(0.448)</t>
  </si>
  <si>
    <t>140. Comoros(0.478)</t>
  </si>
  <si>
    <t>139. Malawi(0.510)</t>
  </si>
  <si>
    <t>138. Morocco(0.534)</t>
  </si>
  <si>
    <t>137. Sierra Leone(0.571)</t>
  </si>
  <si>
    <t>136. Lebanon(0.575)</t>
  </si>
  <si>
    <t>135. Ivory Coast(0.576)</t>
  </si>
  <si>
    <t>134. Togo(0.579)</t>
  </si>
  <si>
    <t>133. Pakistan(0.585)</t>
  </si>
  <si>
    <t>132. Guinea(0.593)</t>
  </si>
  <si>
    <t>131. Congo (Brazzaville)(0.593)</t>
  </si>
  <si>
    <t>130. India(0.605)</t>
  </si>
  <si>
    <t>129. Congo (Kinshasa)(0.610)</t>
  </si>
  <si>
    <t>128. Liberia(0.613)</t>
  </si>
  <si>
    <t>127. Niger(0.615)</t>
  </si>
  <si>
    <t>126. Gambia(0.617)</t>
  </si>
  <si>
    <t>125. Burkina Faso(0.618)</t>
  </si>
  <si>
    <t>124. Mali(0.619)</t>
  </si>
  <si>
    <t>123. Mauritania(0.625)</t>
  </si>
  <si>
    <t>122. Tanzania(0.626)</t>
  </si>
  <si>
    <t>121. Ghana(0.642)</t>
  </si>
  <si>
    <t>120. Senegal(0.643)</t>
  </si>
  <si>
    <t>119. Chad(0.665)</t>
  </si>
  <si>
    <t>118. Zambia(0.666)</t>
  </si>
  <si>
    <t>117. Madagascar(0.672)</t>
  </si>
  <si>
    <t>116. Laos(0.681)</t>
  </si>
  <si>
    <t>115. Zimbabwe(0.682)</t>
  </si>
  <si>
    <t>114. Lesotho(0.682)</t>
  </si>
  <si>
    <t>113. Cameroon(0.684)</t>
  </si>
  <si>
    <t>112. Azerbaijan(0.692)</t>
  </si>
  <si>
    <t>111. Mozambique(0.695)</t>
  </si>
  <si>
    <t>110. Kenya(0.700)</t>
  </si>
  <si>
    <t>109. Ethiopia(0.707)</t>
  </si>
  <si>
    <t>108. Albania(0.711)</t>
  </si>
  <si>
    <t>107. Eswatini(0.711)</t>
  </si>
  <si>
    <t>106. Tunisia(0.723)</t>
  </si>
  <si>
    <t>105. Botswana(0.728)</t>
  </si>
  <si>
    <t>104. Jordan(0.734)</t>
  </si>
  <si>
    <t>103. Myanmar(0.736)</t>
  </si>
  <si>
    <t>102. Georgia(0.737)</t>
  </si>
  <si>
    <t>101. Nepal(0.737)</t>
  </si>
  <si>
    <t>100. Egypt(0.739)</t>
  </si>
  <si>
    <t>99. Iraq(0.739)</t>
  </si>
  <si>
    <t>98. Cambodia(0.748)</t>
  </si>
  <si>
    <t>97. Honduras(0.754)</t>
  </si>
  <si>
    <t>Social Support</t>
  </si>
  <si>
    <t>Healthy Lifestyle</t>
  </si>
  <si>
    <t>48. Hungary(67.200)</t>
  </si>
  <si>
    <t>47. Bosnia and Herzegovina(67.200)</t>
  </si>
  <si>
    <t>46. Uruguay(67.500)</t>
  </si>
  <si>
    <t>45. Jordan(67.600)</t>
  </si>
  <si>
    <t>44. Thailand(68.300)</t>
  </si>
  <si>
    <t>43. Turkiye(68.400)</t>
  </si>
  <si>
    <t>42. China(68.500)</t>
  </si>
  <si>
    <t>41. Ecuador(68.500)</t>
  </si>
  <si>
    <t>40. Slovakia(68.500)</t>
  </si>
  <si>
    <t>39. Croatia(68.600)</t>
  </si>
  <si>
    <t>38. Panama(68.700)</t>
  </si>
  <si>
    <t>37. Poland(68.700)</t>
  </si>
  <si>
    <t>36. Czechia(68.800)</t>
  </si>
  <si>
    <t>35. Colombia(69.000)</t>
  </si>
  <si>
    <t>34. Albania(69.100)</t>
  </si>
  <si>
    <t>33. Estonia(69.200)</t>
  </si>
  <si>
    <t>32. Peru(69.500)</t>
  </si>
  <si>
    <t>31. Costa Rica(70.000)</t>
  </si>
  <si>
    <t>30. Chile(70.000)</t>
  </si>
  <si>
    <t>29. Kuwait(70.100)</t>
  </si>
  <si>
    <t>28. United Kingdom(70.100)</t>
  </si>
  <si>
    <t>27. New Zealand(70.200)</t>
  </si>
  <si>
    <t>26. Belgium(70.600)</t>
  </si>
  <si>
    <t>25. Slovenia(70.700)</t>
  </si>
  <si>
    <t>24. Australia(70.900)</t>
  </si>
  <si>
    <t>23. Greece(70.900)</t>
  </si>
  <si>
    <t>22. Austria(70.900)</t>
  </si>
  <si>
    <t>21. Germany(70.900)</t>
  </si>
  <si>
    <t>20. Denmark(71.000)</t>
  </si>
  <si>
    <t>19. Finland(71.000)</t>
  </si>
  <si>
    <t>18. Portugal(71.000)</t>
  </si>
  <si>
    <t>17. Ireland(71.100)</t>
  </si>
  <si>
    <t>16. Canada(71.300)</t>
  </si>
  <si>
    <t>15. Netherlands(71.400)</t>
  </si>
  <si>
    <t>14. Norway(71.400)</t>
  </si>
  <si>
    <t>13. Malta(71.500)</t>
  </si>
  <si>
    <t>12. Luxembourg(71.600)</t>
  </si>
  <si>
    <t>11. Italy(71.900)</t>
  </si>
  <si>
    <t>10. Sweden(71.900)</t>
  </si>
  <si>
    <t>9. Iceland(72.000)</t>
  </si>
  <si>
    <t>8. Spain(72.100)</t>
  </si>
  <si>
    <t>7. France(72.100)</t>
  </si>
  <si>
    <t>6. Cyprus(72.400)</t>
  </si>
  <si>
    <t>5. Israel(72.400)</t>
  </si>
  <si>
    <t>4. Switzerland(72.500)</t>
  </si>
  <si>
    <t>3. South Korea(73.100)</t>
  </si>
  <si>
    <t>2. Singapore(73.600)</t>
  </si>
  <si>
    <t>1. Japan(74.100)</t>
  </si>
  <si>
    <t>96. Philippines(62.000)</t>
  </si>
  <si>
    <t>95. Tajikistan(62.000)</t>
  </si>
  <si>
    <t>94. Guatemala(62.300)</t>
  </si>
  <si>
    <t>93. Iraq(62.700)</t>
  </si>
  <si>
    <t>92. Indonesia(62.800)</t>
  </si>
  <si>
    <t>91. Honduras(63.000)</t>
  </si>
  <si>
    <t>90. Egypt(63.000)</t>
  </si>
  <si>
    <t>89. Bolivia(63.300)</t>
  </si>
  <si>
    <t>88. Azerbaijan(63.600)</t>
  </si>
  <si>
    <t>87. Morocco(63.700)</t>
  </si>
  <si>
    <t>86. Mauritius(63.900)</t>
  </si>
  <si>
    <t>85. Dominican Republic(64.000)</t>
  </si>
  <si>
    <t>84. Saudi Arabia(64.000)</t>
  </si>
  <si>
    <t>83. Russia(64.200)</t>
  </si>
  <si>
    <t>82. Ukraine(64.300)</t>
  </si>
  <si>
    <t>81. Bangladesh(64.300)</t>
  </si>
  <si>
    <t>80. Venezuela(64.400)</t>
  </si>
  <si>
    <t>79. Moldova(64.500)</t>
  </si>
  <si>
    <t>78. Uzbekistan(64.700)</t>
  </si>
  <si>
    <t>77. Georgia(64.700)</t>
  </si>
  <si>
    <t>76. El Salvador(64.900)</t>
  </si>
  <si>
    <t>75. Kazakhstan(65.000)</t>
  </si>
  <si>
    <t>74. Libya(65.200)</t>
  </si>
  <si>
    <t>73. Vietnam(65.300)</t>
  </si>
  <si>
    <t>72. Brazil(65.400)</t>
  </si>
  <si>
    <t>71. Nicaragua(65.500)</t>
  </si>
  <si>
    <t>70. Malaysia(65.700)</t>
  </si>
  <si>
    <t>69. Paraguay(65.800)</t>
  </si>
  <si>
    <t>68. Mexico(65.800)</t>
  </si>
  <si>
    <t>67. Kyrgyzstan(65.800)</t>
  </si>
  <si>
    <t>66. Bahrain(65.900)</t>
  </si>
  <si>
    <t>65. Lebanon(66.000)</t>
  </si>
  <si>
    <t>64. United Arab Emirates(66.000)</t>
  </si>
  <si>
    <t>63. North Macedonia(66.100)</t>
  </si>
  <si>
    <t>62. United States(66.100)</t>
  </si>
  <si>
    <t>61. Latvia(66.200)</t>
  </si>
  <si>
    <t>60. Bulgaria(66.300)</t>
  </si>
  <si>
    <t>59. Iran(66.300)</t>
  </si>
  <si>
    <t>58. Algeria(66.400)</t>
  </si>
  <si>
    <t>57. Jamaica(66.600)</t>
  </si>
  <si>
    <t>56. Lithuania(66.700)</t>
  </si>
  <si>
    <t>55. Romania(66.800)</t>
  </si>
  <si>
    <t>54. Serbia(66.900)</t>
  </si>
  <si>
    <t>53. Tunisia(66.900)</t>
  </si>
  <si>
    <t>52. Montenegro(67.000)</t>
  </si>
  <si>
    <t>51. Sri Lanka(67.000)</t>
  </si>
  <si>
    <t>50. Argentina(67.100)</t>
  </si>
  <si>
    <t>49. Armenia(67.100)</t>
  </si>
  <si>
    <t>139. Lesotho(44.200)</t>
  </si>
  <si>
    <t>138. Eswatini(50.100)</t>
  </si>
  <si>
    <t>137. Mozambique(50.400)</t>
  </si>
  <si>
    <t>136. Chad(52.000)</t>
  </si>
  <si>
    <t>135. Sierra Leone(52.900)</t>
  </si>
  <si>
    <t>134. Zimbabwe(53.100)</t>
  </si>
  <si>
    <t>133. Guinea(53.300)</t>
  </si>
  <si>
    <t>132. Afghanistan(53.900)</t>
  </si>
  <si>
    <t>131. Botswana(53.900)</t>
  </si>
  <si>
    <t>130. Congo (Kinshasa)(54.100)</t>
  </si>
  <si>
    <t>129. Nigeria(54.400)</t>
  </si>
  <si>
    <t>128. Zambia(54.400)</t>
  </si>
  <si>
    <t>127. Cameroon(54.500)</t>
  </si>
  <si>
    <t>126. Mali(54.600)</t>
  </si>
  <si>
    <t>125. Ivory Coast(54.800)</t>
  </si>
  <si>
    <t>124. Liberia(54.900)</t>
  </si>
  <si>
    <t>123. Burkina Faso(54.900)</t>
  </si>
  <si>
    <t>122. Benin(55.500)</t>
  </si>
  <si>
    <t>121. Niger(55.500)</t>
  </si>
  <si>
    <t>120. Namibia(56.100)</t>
  </si>
  <si>
    <t>119. South Africa(56.200)</t>
  </si>
  <si>
    <t>118. Togo(56.200)</t>
  </si>
  <si>
    <t>117. Congo (Brazzaville)(56.200)</t>
  </si>
  <si>
    <t>116. Pakistan(56.900)</t>
  </si>
  <si>
    <t>115. Gambia(57.000)</t>
  </si>
  <si>
    <t>114. Malawi(57.100)</t>
  </si>
  <si>
    <t>113. Madagascar(57.300)</t>
  </si>
  <si>
    <t>112. Yemen(57.500)</t>
  </si>
  <si>
    <t>111. Gabon(57.600)</t>
  </si>
  <si>
    <t>110. Kenya(57.700)</t>
  </si>
  <si>
    <t>109. Ghana(58.000)</t>
  </si>
  <si>
    <t>108. Uganda(58.200)</t>
  </si>
  <si>
    <t>107. Tanzania(58.500)</t>
  </si>
  <si>
    <t>106. Comoros(58.900)</t>
  </si>
  <si>
    <t>105. Senegal(59.400)</t>
  </si>
  <si>
    <t>104. Mauritania(59.800)</t>
  </si>
  <si>
    <t>103. Ethiopia(59.900)</t>
  </si>
  <si>
    <t>102. Mongolia(60.300)</t>
  </si>
  <si>
    <t>101. India(60.300)</t>
  </si>
  <si>
    <t>100. Laos(60.500)</t>
  </si>
  <si>
    <t>99. Myanmar(60.900)</t>
  </si>
  <si>
    <t>98. Nepal(61.300)</t>
  </si>
  <si>
    <t>97. Cambodia(61.500)</t>
  </si>
  <si>
    <t>Freedom</t>
  </si>
  <si>
    <t>48. Honduras(0.854)</t>
  </si>
  <si>
    <t>47. Panama(0.854)</t>
  </si>
  <si>
    <t>46. Mexico(0.855)</t>
  </si>
  <si>
    <t>45. Netherlands(0.858)</t>
  </si>
  <si>
    <t>44. Malta(0.859)</t>
  </si>
  <si>
    <t>43. Zambia(0.859)</t>
  </si>
  <si>
    <t>42. Mozambique(0.860)</t>
  </si>
  <si>
    <t>41. Belgium(0.860)</t>
  </si>
  <si>
    <t>40. Dominican Republic(0.861)</t>
  </si>
  <si>
    <t>39. Canada(0.861)</t>
  </si>
  <si>
    <t>38. Kazakhstan(0.863)</t>
  </si>
  <si>
    <t>37. Guatemala(0.865)</t>
  </si>
  <si>
    <t>36. Kosovo(0.868)</t>
  </si>
  <si>
    <t>35. Bahrain(0.870)</t>
  </si>
  <si>
    <t>34. Singapore(0.871)</t>
  </si>
  <si>
    <t>33. New Zealand(0.872)</t>
  </si>
  <si>
    <t>32. Thailand(0.880)</t>
  </si>
  <si>
    <t>31. Australia(0.880)</t>
  </si>
  <si>
    <t>30. Portugal(0.881)</t>
  </si>
  <si>
    <t>29. Ireland(0.881)</t>
  </si>
  <si>
    <t>28. Switzerland(0.882)</t>
  </si>
  <si>
    <t>27. India(0.888)</t>
  </si>
  <si>
    <t>26. Bangladesh(0.894)</t>
  </si>
  <si>
    <t>25. Uruguay(0.894)</t>
  </si>
  <si>
    <t>24. Indonesia(0.897)</t>
  </si>
  <si>
    <t>23. Czechia(0.902)</t>
  </si>
  <si>
    <t>22. Saudi Arabia(0.903)</t>
  </si>
  <si>
    <t>21. Paraguay(0.903)</t>
  </si>
  <si>
    <t>20. Slovenia(0.904)</t>
  </si>
  <si>
    <t>19. Nicaragua(0.907)</t>
  </si>
  <si>
    <t>18. Laos(0.909)</t>
  </si>
  <si>
    <t>17. Costa Rica(0.909)</t>
  </si>
  <si>
    <t>16. Luxembourg(0.913)</t>
  </si>
  <si>
    <t>15. Estonia(0.916)</t>
  </si>
  <si>
    <t>14. United Arab Emirates(0.923)</t>
  </si>
  <si>
    <t>13. El Salvador(0.924)</t>
  </si>
  <si>
    <t>12. Iceland(0.925)</t>
  </si>
  <si>
    <t>11. Denmark(0.928)</t>
  </si>
  <si>
    <t>10. Philippines(0.931)</t>
  </si>
  <si>
    <t>9. Kuwait(0.931)</t>
  </si>
  <si>
    <t>8. Malaysia(0.933)</t>
  </si>
  <si>
    <t>7. Kyrgyzstan(0.937)</t>
  </si>
  <si>
    <t>6. Uzbekistan(0.937)</t>
  </si>
  <si>
    <t>5. Norway(0.938)</t>
  </si>
  <si>
    <t>4. Sweden(0.940)</t>
  </si>
  <si>
    <t>3. Vietnam(0.943)</t>
  </si>
  <si>
    <t>2. Finland(0.955)</t>
  </si>
  <si>
    <t>1. Cambodia(0.958)</t>
  </si>
  <si>
    <t>96. Botswana(0.743)</t>
  </si>
  <si>
    <t>95. Benin(0.743)</t>
  </si>
  <si>
    <t>94. Malawi(0.746)</t>
  </si>
  <si>
    <t>93. North Macedonia(0.752)</t>
  </si>
  <si>
    <t>92. Hungary(0.753)</t>
  </si>
  <si>
    <t>91. Sri Lanka(0.755)</t>
  </si>
  <si>
    <t>90. Mali(0.756)</t>
  </si>
  <si>
    <t>89. United States(0.757)</t>
  </si>
  <si>
    <t>88. Uganda(0.758)</t>
  </si>
  <si>
    <t>87. Libya(0.761)</t>
  </si>
  <si>
    <t>86. Jordan(0.762)</t>
  </si>
  <si>
    <t>85. Poland(0.767)</t>
  </si>
  <si>
    <t>84. Ecuador(0.771)</t>
  </si>
  <si>
    <t>83. Senegal(0.772)</t>
  </si>
  <si>
    <t>82. Niger(0.777)</t>
  </si>
  <si>
    <t>81. Peru(0.778)</t>
  </si>
  <si>
    <t>80. Spain(0.781)</t>
  </si>
  <si>
    <t>79. Bulgaria(0.782)</t>
  </si>
  <si>
    <t>78. Bosnia and Herzegovina(0.782)</t>
  </si>
  <si>
    <t>77. Ghana(0.784)</t>
  </si>
  <si>
    <t>76. Ukraine(0.789)</t>
  </si>
  <si>
    <t>75. Morocco(0.789)</t>
  </si>
  <si>
    <t>74. Japan(0.790)</t>
  </si>
  <si>
    <t>73. Montenegro(0.790)</t>
  </si>
  <si>
    <t>72. Mauritius(0.796)</t>
  </si>
  <si>
    <t>71. Israel(0.797)</t>
  </si>
  <si>
    <t>70. Colombia(0.799)</t>
  </si>
  <si>
    <t>69. Jamaica(0.801)</t>
  </si>
  <si>
    <t>68. Taiwan Province of China(0.802)</t>
  </si>
  <si>
    <t>67. France(0.803)</t>
  </si>
  <si>
    <t>66. Armenia(0.803)</t>
  </si>
  <si>
    <t>65. Chile(0.804)</t>
  </si>
  <si>
    <t>64. Nepal(0.805)</t>
  </si>
  <si>
    <t>63. Serbia(0.813)</t>
  </si>
  <si>
    <t>62. Latvia(0.815)</t>
  </si>
  <si>
    <t>61. Azerbaijan(0.816)</t>
  </si>
  <si>
    <t>60. Georgia(0.825)</t>
  </si>
  <si>
    <t>59. Argentina(0.825)</t>
  </si>
  <si>
    <t>58. Brazil(0.829)</t>
  </si>
  <si>
    <t>57. Albania(0.832)</t>
  </si>
  <si>
    <t>56. Moldova(0.836)</t>
  </si>
  <si>
    <t>55. Germany(0.839)</t>
  </si>
  <si>
    <t>54. Austria(0.841)</t>
  </si>
  <si>
    <t>53. China(0.843)</t>
  </si>
  <si>
    <t>52. Tanzania(0.846)</t>
  </si>
  <si>
    <t>51. United Kingdom(0.849)</t>
  </si>
  <si>
    <t>50. Romania(0.851)</t>
  </si>
  <si>
    <t>49. Bolivia(0.854)</t>
  </si>
  <si>
    <t>142. Afghanistan(0.331)</t>
  </si>
  <si>
    <t>141. Comoros(0.456)</t>
  </si>
  <si>
    <t>140. Lebanon(0.457)</t>
  </si>
  <si>
    <t>139. Turkiye(0.478)</t>
  </si>
  <si>
    <t>138. Algeria(0.511)</t>
  </si>
  <si>
    <t>137. Madagascar(0.513)</t>
  </si>
  <si>
    <t>136. Tunisia(0.516)</t>
  </si>
  <si>
    <t>135. Eswatini(0.538)</t>
  </si>
  <si>
    <t>134. Greece(0.576)</t>
  </si>
  <si>
    <t>133. Mauritania(0.580)</t>
  </si>
  <si>
    <t>132. Yemen(0.594)</t>
  </si>
  <si>
    <t>131. Iran(0.597)</t>
  </si>
  <si>
    <t>130. Chad(0.630)</t>
  </si>
  <si>
    <t>129. Iraq(0.639)</t>
  </si>
  <si>
    <t>128. Ethiopia(0.651)</t>
  </si>
  <si>
    <t>127. Myanmar(0.658)</t>
  </si>
  <si>
    <t>126. Togo(0.660)</t>
  </si>
  <si>
    <t>125. Gambia(0.664)</t>
  </si>
  <si>
    <t>124. Sierra Leone(0.672)</t>
  </si>
  <si>
    <t>123. Croatia(0.672)</t>
  </si>
  <si>
    <t>122. Namibia(0.672)</t>
  </si>
  <si>
    <t>121. Congo (Kinshasa)(0.674)</t>
  </si>
  <si>
    <t>120. Burkina Faso(0.682)</t>
  </si>
  <si>
    <t>119. Hong Kong S.A.R. of China(0.683)</t>
  </si>
  <si>
    <t>118. Zimbabwe(0.685)</t>
  </si>
  <si>
    <t>117. Egypt(0.687)</t>
  </si>
  <si>
    <t>116. Mongolia(0.695)</t>
  </si>
  <si>
    <t>115. State of Palestine(0.702)</t>
  </si>
  <si>
    <t>114. Italy(0.704)</t>
  </si>
  <si>
    <t>113. Gabon(0.706)</t>
  </si>
  <si>
    <t>112. Venezuela(0.707)</t>
  </si>
  <si>
    <t>111. Kenya(0.708)</t>
  </si>
  <si>
    <t>110. Cameroon(0.710)</t>
  </si>
  <si>
    <t>109. Guinea(0.710)</t>
  </si>
  <si>
    <t>108. Congo (Brazzaville)(0.711)</t>
  </si>
  <si>
    <t>107. Lesotho(0.711)</t>
  </si>
  <si>
    <t>106. Cyprus(0.715)</t>
  </si>
  <si>
    <t>105. Lithuania(0.718)</t>
  </si>
  <si>
    <t>104. South Africa(0.721)</t>
  </si>
  <si>
    <t>103. Pakistan(0.725)</t>
  </si>
  <si>
    <t>102. Liberia(0.727)</t>
  </si>
  <si>
    <t>101. Ivory Coast(0.728)</t>
  </si>
  <si>
    <t>100. Russia(0.732)</t>
  </si>
  <si>
    <t>99. South Korea(0.734)</t>
  </si>
  <si>
    <t>98. Nigeria(0.742)</t>
  </si>
  <si>
    <t>97. Slovakia(0.742)</t>
  </si>
  <si>
    <t>Donated</t>
  </si>
  <si>
    <t>48. Nepal(0.385)</t>
  </si>
  <si>
    <t>47. Cyprus(0.389)</t>
  </si>
  <si>
    <t>46. South Korea(0.390)</t>
  </si>
  <si>
    <t>45. Kazakhstan(0.398)</t>
  </si>
  <si>
    <t>44. Taiwan Province of China(0.405)</t>
  </si>
  <si>
    <t>43. Finland(0.425)</t>
  </si>
  <si>
    <t>42. Kyrgyzstan(0.436)</t>
  </si>
  <si>
    <t>41. Israel(0.440)</t>
  </si>
  <si>
    <t>40. Slovenia(0.446)</t>
  </si>
  <si>
    <t>39. Hong Kong S.A.R. of China(0.449)</t>
  </si>
  <si>
    <t>38. Estonia(0.458)</t>
  </si>
  <si>
    <t>37. North Macedonia(0.458)</t>
  </si>
  <si>
    <t>36. Ethiopia(0.474)</t>
  </si>
  <si>
    <t>35. Serbia(0.482)</t>
  </si>
  <si>
    <t>34. Czechia(0.486)</t>
  </si>
  <si>
    <t>33. Belgium(0.492)</t>
  </si>
  <si>
    <t>32. Luxembourg(0.495)</t>
  </si>
  <si>
    <t>31. Germany(0.498)</t>
  </si>
  <si>
    <t>30. Switzerland(0.516)</t>
  </si>
  <si>
    <t>29. Uzbekistan(0.521)</t>
  </si>
  <si>
    <t>28. Mongolia(0.521)</t>
  </si>
  <si>
    <t>27. Iran(0.534)</t>
  </si>
  <si>
    <t>26. Kenya(0.547)</t>
  </si>
  <si>
    <t>25. Kuwait(0.548)</t>
  </si>
  <si>
    <t>24. Kosovo(0.557)</t>
  </si>
  <si>
    <t>23. Malaysia(0.558)</t>
  </si>
  <si>
    <t>22. Bosnia and Herzegovina(0.563)</t>
  </si>
  <si>
    <t>21. Denmark(0.566)</t>
  </si>
  <si>
    <t>20. Bahrain(0.570)</t>
  </si>
  <si>
    <t>19. Gambia(0.577)</t>
  </si>
  <si>
    <t>18. Austria(0.582)</t>
  </si>
  <si>
    <t>17. Singapore(0.586)</t>
  </si>
  <si>
    <t>16. New Zealand(0.592)</t>
  </si>
  <si>
    <t>15. United Arab Emirates(0.596)</t>
  </si>
  <si>
    <t>14. Sweden(0.596)</t>
  </si>
  <si>
    <t>13. Australia(0.600)</t>
  </si>
  <si>
    <t>12. Canada(0.606)</t>
  </si>
  <si>
    <t>11. United States(0.613)</t>
  </si>
  <si>
    <t>10. Ireland(0.614)</t>
  </si>
  <si>
    <t>9. Norway(0.617)</t>
  </si>
  <si>
    <t>8. Ukraine(0.620)</t>
  </si>
  <si>
    <t>7. Thailand(0.644)</t>
  </si>
  <si>
    <t>6. Netherlands(0.654)</t>
  </si>
  <si>
    <t>5. Iceland(0.675)</t>
  </si>
  <si>
    <t>4. United Kingdom(0.677)</t>
  </si>
  <si>
    <t>3. Malta(0.678)</t>
  </si>
  <si>
    <t>2. Myanmar(0.779)</t>
  </si>
  <si>
    <t>1. Indonesia(0.857)</t>
  </si>
  <si>
    <t>96. Croatia(0.240)</t>
  </si>
  <si>
    <t>95. Mexico(0.245)</t>
  </si>
  <si>
    <t>94. Dominican Republic(0.245)</t>
  </si>
  <si>
    <t>93. Turkiye(0.245)</t>
  </si>
  <si>
    <t>92. Liberia(0.248)</t>
  </si>
  <si>
    <t>91. Mauritania(0.249)</t>
  </si>
  <si>
    <t>90. Congo (Kinshasa)(0.252)</t>
  </si>
  <si>
    <t>89. Nicaragua(0.254)</t>
  </si>
  <si>
    <t>88. Argentina(0.256)</t>
  </si>
  <si>
    <t>87. Senegal(0.258)</t>
  </si>
  <si>
    <t>86. Sierra Leone(0.261)</t>
  </si>
  <si>
    <t>85. Bulgaria(0.264)</t>
  </si>
  <si>
    <t>84. Burkina Faso(0.270)</t>
  </si>
  <si>
    <t>83. Pakistan(0.272)</t>
  </si>
  <si>
    <t>82. Bangladesh(0.276)</t>
  </si>
  <si>
    <t>81. Azerbaijan(0.278)</t>
  </si>
  <si>
    <t>80. Poland(0.278)</t>
  </si>
  <si>
    <t>79. Uganda(0.279)</t>
  </si>
  <si>
    <t>78. Zambia(0.285)</t>
  </si>
  <si>
    <t>77. Costa Rica(0.299)</t>
  </si>
  <si>
    <t>76. Uruguay(0.302)</t>
  </si>
  <si>
    <t>75. Iraq(0.303)</t>
  </si>
  <si>
    <t>74. Slovakia(0.305)</t>
  </si>
  <si>
    <t>73. Montenegro(0.307)</t>
  </si>
  <si>
    <t>72. Paraguay(0.313)</t>
  </si>
  <si>
    <t>71. Cambodia(0.318)</t>
  </si>
  <si>
    <t>70. Brazil(0.318)</t>
  </si>
  <si>
    <t>69. Tanzania(0.318)</t>
  </si>
  <si>
    <t>68. Libya(0.321)</t>
  </si>
  <si>
    <t>67. Chile(0.328)</t>
  </si>
  <si>
    <t>66. Mauritius(0.329)</t>
  </si>
  <si>
    <t>65. Chad(0.330)</t>
  </si>
  <si>
    <t>64. Sri Lanka(0.331)</t>
  </si>
  <si>
    <t>63. China(0.335)</t>
  </si>
  <si>
    <t>62. Albania(0.335)</t>
  </si>
  <si>
    <t>61. Honduras(0.340)</t>
  </si>
  <si>
    <t>60. Ghana(0.353)</t>
  </si>
  <si>
    <t>59. India(0.354)</t>
  </si>
  <si>
    <t>58. Guinea(0.356)</t>
  </si>
  <si>
    <t>57. Italy(0.356)</t>
  </si>
  <si>
    <t>56. Laos(0.357)</t>
  </si>
  <si>
    <t>55. France(0.360)</t>
  </si>
  <si>
    <t>54. Hungary(0.361)</t>
  </si>
  <si>
    <t>53. Spain(0.363)</t>
  </si>
  <si>
    <t>52. Latvia(0.364)</t>
  </si>
  <si>
    <t>51. Saudi Arabia(0.368)</t>
  </si>
  <si>
    <t>50. Russia(0.377)</t>
  </si>
  <si>
    <t>49. Nigeria(0.382)</t>
  </si>
  <si>
    <t>143. Yemen(0.055)</t>
  </si>
  <si>
    <t>142. Georgia(0.057)</t>
  </si>
  <si>
    <t>141. Tunisia(0.074)</t>
  </si>
  <si>
    <t>140. Afghanistan(0.082)</t>
  </si>
  <si>
    <t>139. Botswana(0.083)</t>
  </si>
  <si>
    <t>138. Lesotho(0.083)</t>
  </si>
  <si>
    <t>137. Egypt(0.089)</t>
  </si>
  <si>
    <t>136. Morocco(0.094)</t>
  </si>
  <si>
    <t>135. Zimbabwe(0.107)</t>
  </si>
  <si>
    <t>134. Jordan(0.137)</t>
  </si>
  <si>
    <t>133. Eswatini(0.137)</t>
  </si>
  <si>
    <t>132. Gabon(0.137)</t>
  </si>
  <si>
    <t>131. Greece(0.139)</t>
  </si>
  <si>
    <t>130. State of Palestine(0.140)</t>
  </si>
  <si>
    <t>129. Mali(0.157)</t>
  </si>
  <si>
    <t>128. Namibia(0.158)</t>
  </si>
  <si>
    <t>127. Armenia(0.159)</t>
  </si>
  <si>
    <t>126. Malawi(0.161)</t>
  </si>
  <si>
    <t>125. Japan(0.169)</t>
  </si>
  <si>
    <t>124. Niger(0.173)</t>
  </si>
  <si>
    <t>123. Togo(0.174)</t>
  </si>
  <si>
    <t>122. Benin(0.175)</t>
  </si>
  <si>
    <t>121. Lebanon(0.177)</t>
  </si>
  <si>
    <t>120. El Salvador(0.182)</t>
  </si>
  <si>
    <t>119. Tajikistan(0.184)</t>
  </si>
  <si>
    <t>118. Venezuela(0.187)</t>
  </si>
  <si>
    <t>117. Romania(0.191)</t>
  </si>
  <si>
    <t>116. Congo (Brazzaville)(0.193)</t>
  </si>
  <si>
    <t>115. Mozambique(0.195)</t>
  </si>
  <si>
    <t>114. Colombia(0.198)</t>
  </si>
  <si>
    <t>113. Peru(0.198)</t>
  </si>
  <si>
    <t>112. Moldova(0.201)</t>
  </si>
  <si>
    <t>111. South Africa(0.202)</t>
  </si>
  <si>
    <t>110. Jamaica(0.203)</t>
  </si>
  <si>
    <t>109. Ecuador(0.204)</t>
  </si>
  <si>
    <t>108. Portugal(0.207)</t>
  </si>
  <si>
    <t>107. Comoros(0.210)</t>
  </si>
  <si>
    <t>106. Cameroon(0.210)</t>
  </si>
  <si>
    <t>105. Bolivia(0.211)</t>
  </si>
  <si>
    <t>104. Lithuania(0.211)</t>
  </si>
  <si>
    <t>103. Philippines(0.212)</t>
  </si>
  <si>
    <t>102. Algeria(0.217)</t>
  </si>
  <si>
    <t>101. Ivory Coast(0.223)</t>
  </si>
  <si>
    <t>100. Vietnam(0.224)</t>
  </si>
  <si>
    <t>99. Guatemala(0.227)</t>
  </si>
  <si>
    <t>98. Panama(0.234)</t>
  </si>
  <si>
    <t>97. Madagascar(0.235)</t>
  </si>
  <si>
    <t>48. Argentina(0.824)</t>
  </si>
  <si>
    <t>47. Latvia(0.827)</t>
  </si>
  <si>
    <t>46. Ecuador(0.827)</t>
  </si>
  <si>
    <t>45. Guatemala(0.828)</t>
  </si>
  <si>
    <t>44. Chile(0.831)</t>
  </si>
  <si>
    <t>43. Liberia(0.832)</t>
  </si>
  <si>
    <t>42. Pakistan(0.833)</t>
  </si>
  <si>
    <t>41. Italy(0.833)</t>
  </si>
  <si>
    <t>40. Kosovo(0.835)</t>
  </si>
  <si>
    <t>39. Congo (Kinshasa)(0.835)</t>
  </si>
  <si>
    <t>38. Cambodia(0.837)</t>
  </si>
  <si>
    <t>37. Senegal(0.840)</t>
  </si>
  <si>
    <t>36. Kenya(0.840)</t>
  </si>
  <si>
    <t>35. Czechia(0.841)</t>
  </si>
  <si>
    <t>34. Hungary(0.842)</t>
  </si>
  <si>
    <t>33. Paraguay(0.845)</t>
  </si>
  <si>
    <t>32. Namibia(0.850)</t>
  </si>
  <si>
    <t>31. Bolivia(0.851)</t>
  </si>
  <si>
    <t>30. Cameroon(0.851)</t>
  </si>
  <si>
    <t>29. Colombia(0.854)</t>
  </si>
  <si>
    <t>28. Slovakia(0.855)</t>
  </si>
  <si>
    <t>27. Mongolia(0.858)</t>
  </si>
  <si>
    <t>26. Indonesia(0.859)</t>
  </si>
  <si>
    <t>25. Uganda(0.860)</t>
  </si>
  <si>
    <t>24. Sierra Leone(0.861)</t>
  </si>
  <si>
    <t>23. Cyprus(0.867)</t>
  </si>
  <si>
    <t>22. Albania(0.867)</t>
  </si>
  <si>
    <t>21. Iraq(0.869)</t>
  </si>
  <si>
    <t>20. Gambia(0.869)</t>
  </si>
  <si>
    <t>19. Moldova(0.873)</t>
  </si>
  <si>
    <t>18. Croatia(0.875)</t>
  </si>
  <si>
    <t>17. Panama(0.876)</t>
  </si>
  <si>
    <t>16. Portugal(0.886)</t>
  </si>
  <si>
    <t>15. South Africa(0.887)</t>
  </si>
  <si>
    <t>14. Sri Lanka(0.892)</t>
  </si>
  <si>
    <t>13. Kyrgyzstan(0.893)</t>
  </si>
  <si>
    <t>12. Lebanon(0.894)</t>
  </si>
  <si>
    <t>11. Peru(0.895)</t>
  </si>
  <si>
    <t>10. Jamaica(0.895)</t>
  </si>
  <si>
    <t>9. Ghana(0.896)</t>
  </si>
  <si>
    <t>8. Ukraine(0.899)</t>
  </si>
  <si>
    <t>7. Thailand(0.901)</t>
  </si>
  <si>
    <t>6. Nigeria(0.908)</t>
  </si>
  <si>
    <t>5. Tunisia(0.909)</t>
  </si>
  <si>
    <t>4. North Macedonia(0.914)</t>
  </si>
  <si>
    <t>3. Romania(0.925)</t>
  </si>
  <si>
    <t>2. Bulgaria(0.925)</t>
  </si>
  <si>
    <t>1. Bosnia and Herzegovina(0.934)</t>
  </si>
  <si>
    <t>96. Myanmar(0.696)</t>
  </si>
  <si>
    <t>95. Armenia(0.698)</t>
  </si>
  <si>
    <t>94. United States(0.703)</t>
  </si>
  <si>
    <t>93. Bangladesh(0.705)</t>
  </si>
  <si>
    <t>92. Laos(0.707)</t>
  </si>
  <si>
    <t>91. Ivory Coast(0.710)</t>
  </si>
  <si>
    <t>90. Vietnam(0.716)</t>
  </si>
  <si>
    <t>89. Comoros(0.716)</t>
  </si>
  <si>
    <t>88. South Korea(0.718)</t>
  </si>
  <si>
    <t>87. Togo(0.721)</t>
  </si>
  <si>
    <t>86. Niger(0.734)</t>
  </si>
  <si>
    <t>85. Brazil(0.739)</t>
  </si>
  <si>
    <t>84. Congo (Brazzaville)(0.746)</t>
  </si>
  <si>
    <t>83. Philippines(0.748)</t>
  </si>
  <si>
    <t>82. Malawi(0.749)</t>
  </si>
  <si>
    <t>81. Montenegro(0.754)</t>
  </si>
  <si>
    <t>80. Zimbabwe(0.756)</t>
  </si>
  <si>
    <t>79. Slovenia(0.756)</t>
  </si>
  <si>
    <t>78. Mexico(0.761)</t>
  </si>
  <si>
    <t>77. Malta(0.764)</t>
  </si>
  <si>
    <t>76. Iran(0.765)</t>
  </si>
  <si>
    <t>75. Madagascar(0.766)</t>
  </si>
  <si>
    <t>74. Costa Rica(0.766)</t>
  </si>
  <si>
    <t>73. India(0.767)</t>
  </si>
  <si>
    <t>72. Russia(0.769)</t>
  </si>
  <si>
    <t>71. Kazakhstan(0.770)</t>
  </si>
  <si>
    <t>70. Malaysia(0.771)</t>
  </si>
  <si>
    <t>69. Mauritius(0.773)</t>
  </si>
  <si>
    <t>68. Eswatini(0.776)</t>
  </si>
  <si>
    <t>67. Lithuania(0.776)</t>
  </si>
  <si>
    <t>66. Nepal(0.777)</t>
  </si>
  <si>
    <t>65. Turkiye(0.777)</t>
  </si>
  <si>
    <t>64. Yemen(0.779)</t>
  </si>
  <si>
    <t>63. Chad(0.780)</t>
  </si>
  <si>
    <t>62. Zambia(0.785)</t>
  </si>
  <si>
    <t>61. Guinea(0.787)</t>
  </si>
  <si>
    <t>60. Ethiopia(0.796)</t>
  </si>
  <si>
    <t>59. Serbia(0.797)</t>
  </si>
  <si>
    <t>58. Gabon(0.798)</t>
  </si>
  <si>
    <t>57. Greece(0.807)</t>
  </si>
  <si>
    <t>56. Mali(0.812)</t>
  </si>
  <si>
    <t>55. Afghanistan(0.813)</t>
  </si>
  <si>
    <t>54. Venezuela(0.816)</t>
  </si>
  <si>
    <t>53. Lesotho(0.818)</t>
  </si>
  <si>
    <t>52. State of Palestine(0.822)</t>
  </si>
  <si>
    <t>51. Botswana(0.822)</t>
  </si>
  <si>
    <t>50. Morocco(0.822)</t>
  </si>
  <si>
    <t>49. Honduras(0.824)</t>
  </si>
  <si>
    <t>138. Singapore(0.149)</t>
  </si>
  <si>
    <t>137. Denmark(0.186)</t>
  </si>
  <si>
    <t>136. Finland(0.189)</t>
  </si>
  <si>
    <t>135. Sweden(0.219)</t>
  </si>
  <si>
    <t>134. Switzerland(0.255)</t>
  </si>
  <si>
    <t>133. Norway(0.274)</t>
  </si>
  <si>
    <t>132. New Zealand(0.279)</t>
  </si>
  <si>
    <t>131. Luxembourg(0.344)</t>
  </si>
  <si>
    <t>130. Ireland(0.364)</t>
  </si>
  <si>
    <t>129. Hong Kong S.A.R. of China(0.386)</t>
  </si>
  <si>
    <t>128. Estonia(0.386)</t>
  </si>
  <si>
    <t>127. Netherlands(0.426)</t>
  </si>
  <si>
    <t>126. Canada(0.432)</t>
  </si>
  <si>
    <t>125. Germany(0.432)</t>
  </si>
  <si>
    <t>124. United Kingdom(0.455)</t>
  </si>
  <si>
    <t>123. Tajikistan(0.462)</t>
  </si>
  <si>
    <t>122. Australia(0.493)</t>
  </si>
  <si>
    <t>121. Belgium(0.510)</t>
  </si>
  <si>
    <t>120. Austria(0.518)</t>
  </si>
  <si>
    <t>119. France(0.551)</t>
  </si>
  <si>
    <t>118. Egypt(0.580)</t>
  </si>
  <si>
    <t>117. Tanzania(0.583)</t>
  </si>
  <si>
    <t>116. El Salvador(0.589)</t>
  </si>
  <si>
    <t>115. Benin(0.590)</t>
  </si>
  <si>
    <t>114. Nicaragua(0.591)</t>
  </si>
  <si>
    <t>113. Uruguay(0.633)</t>
  </si>
  <si>
    <t>112. Japan(0.635)</t>
  </si>
  <si>
    <t>111. Uzbekistan(0.641)</t>
  </si>
  <si>
    <t>110. Libya(0.656)</t>
  </si>
  <si>
    <t>109. Taiwan Province of China(0.658)</t>
  </si>
  <si>
    <t>108. Algeria(0.661)</t>
  </si>
  <si>
    <t>107. Azerbaijan(0.662)</t>
  </si>
  <si>
    <t>106. Mauritania(0.663)</t>
  </si>
  <si>
    <t>105. Mozambique(0.666)</t>
  </si>
  <si>
    <t>104. Dominican Republic(0.667)</t>
  </si>
  <si>
    <t>103. Israel(0.671)</t>
  </si>
  <si>
    <t>102. Jordan(0.675)</t>
  </si>
  <si>
    <t>101. Iceland(0.685)</t>
  </si>
  <si>
    <t>100. Burkina Faso(0.690)</t>
  </si>
  <si>
    <t>99. Spain(0.692)</t>
  </si>
  <si>
    <t>98. Poland(0.695)</t>
  </si>
  <si>
    <t>97. Georgia(0.696)</t>
  </si>
  <si>
    <t>Corruption</t>
  </si>
  <si>
    <t>48. Belgium(0.711)</t>
  </si>
  <si>
    <t>47. Vietnam(0.713)</t>
  </si>
  <si>
    <t>46. Saudi Arabia(0.714)</t>
  </si>
  <si>
    <t>45. Nigeria(0.716)</t>
  </si>
  <si>
    <t>44. Austria(0.718)</t>
  </si>
  <si>
    <t>43. United States(0.719)</t>
  </si>
  <si>
    <t>42. Sri Lanka(0.720)</t>
  </si>
  <si>
    <t>41. Gambia(0.723)</t>
  </si>
  <si>
    <t>40. Australia(0.728)</t>
  </si>
  <si>
    <t>39. New Zealand(0.730)</t>
  </si>
  <si>
    <t>38. Dominican Republic(0.732)</t>
  </si>
  <si>
    <t>37. Uzbekistan(0.732)</t>
  </si>
  <si>
    <t>36. Switzerland(0.734)</t>
  </si>
  <si>
    <t>35. Kuwait(0.734)</t>
  </si>
  <si>
    <t>34. Luxembourg(0.735)</t>
  </si>
  <si>
    <t>33. Cambodia(0.736)</t>
  </si>
  <si>
    <t>32. Czechia(0.736)</t>
  </si>
  <si>
    <t>31. Canada(0.736)</t>
  </si>
  <si>
    <t>30. Finland(0.736)</t>
  </si>
  <si>
    <t>29. Venezuela(0.737)</t>
  </si>
  <si>
    <t>28. Ireland(0.737)</t>
  </si>
  <si>
    <t>27. Kenya(0.742)</t>
  </si>
  <si>
    <t>26. Bolivia(0.743)</t>
  </si>
  <si>
    <t>25. South Africa(0.747)</t>
  </si>
  <si>
    <t>24. Sweden(0.751)</t>
  </si>
  <si>
    <t>23. Malaysia(0.752)</t>
  </si>
  <si>
    <t>22. Colombia(0.758)</t>
  </si>
  <si>
    <t>21. Uruguay(0.759)</t>
  </si>
  <si>
    <t>20. Ecuador(0.761)</t>
  </si>
  <si>
    <t>19. Norway(0.762)</t>
  </si>
  <si>
    <t>18. Chile(0.763)</t>
  </si>
  <si>
    <t>17. Niger(0.764)</t>
  </si>
  <si>
    <t>16. Estonia(0.765)</t>
  </si>
  <si>
    <t>15. Peru(0.769)</t>
  </si>
  <si>
    <t>14. Thailand(0.770)</t>
  </si>
  <si>
    <t>13. Denmark(0.778)</t>
  </si>
  <si>
    <t>12. Honduras(0.784)</t>
  </si>
  <si>
    <t>11. Nicaragua(0.788)</t>
  </si>
  <si>
    <t>10. Iceland(0.790)</t>
  </si>
  <si>
    <t>9. Costa Rica(0.792)</t>
  </si>
  <si>
    <t>8. Mexico(0.793)</t>
  </si>
  <si>
    <t>7. Philippines(0.808)</t>
  </si>
  <si>
    <t>6. Indonesia(0.812)</t>
  </si>
  <si>
    <t>5. Senegal(0.814)</t>
  </si>
  <si>
    <t>4. Paraguay(0.820)</t>
  </si>
  <si>
    <t>3. El Salvador(0.824)</t>
  </si>
  <si>
    <t>2. Panama(0.829)</t>
  </si>
  <si>
    <t>1. Guatemala(0.843)</t>
  </si>
  <si>
    <t>96. Ghana(0.616)</t>
  </si>
  <si>
    <t>95. India(0.617)</t>
  </si>
  <si>
    <t>94. Poland(0.619)</t>
  </si>
  <si>
    <t>93. Zimbabwe(0.620)</t>
  </si>
  <si>
    <t>92. Liberia(0.623)</t>
  </si>
  <si>
    <t>91. Slovenia(0.627)</t>
  </si>
  <si>
    <t>90. Burkina Faso(0.632)</t>
  </si>
  <si>
    <t>89. Italy(0.632)</t>
  </si>
  <si>
    <t>88. Gabon(0.634)</t>
  </si>
  <si>
    <t>87. Botswana(0.641)</t>
  </si>
  <si>
    <t>86. Romania(0.642)</t>
  </si>
  <si>
    <t>85. Portugal(0.643)</t>
  </si>
  <si>
    <t>84. Spain(0.643)</t>
  </si>
  <si>
    <t>83. Ivory Coast(0.643)</t>
  </si>
  <si>
    <t>82. Myanmar(0.647)</t>
  </si>
  <si>
    <t>81. Kazakhstan(0.648)</t>
  </si>
  <si>
    <t>80. Malta(0.650)</t>
  </si>
  <si>
    <t>79. Namibia(0.651)</t>
  </si>
  <si>
    <t>78. Mali(0.652)</t>
  </si>
  <si>
    <t>77. Zambia(0.657)</t>
  </si>
  <si>
    <t>76. Hungary(0.658)</t>
  </si>
  <si>
    <t>75. Cyprus(0.661)</t>
  </si>
  <si>
    <t>74. Japan(0.662)</t>
  </si>
  <si>
    <t>73. Eswatini(0.662)</t>
  </si>
  <si>
    <t>72. Kyrgyzstan(0.663)</t>
  </si>
  <si>
    <t>71. Tajikistan(0.668)</t>
  </si>
  <si>
    <t>70. Slovakia(0.668)</t>
  </si>
  <si>
    <t>69. Mauritania(0.671)</t>
  </si>
  <si>
    <t>68. Bahrain(0.671)</t>
  </si>
  <si>
    <t>67. Latvia(0.672)</t>
  </si>
  <si>
    <t>66. Guinea(0.672)</t>
  </si>
  <si>
    <t>65. Brazil(0.680)</t>
  </si>
  <si>
    <t>64. France(0.684)</t>
  </si>
  <si>
    <t>63. Singapore(0.684)</t>
  </si>
  <si>
    <t>62. Mauritius(0.686)</t>
  </si>
  <si>
    <t>61. Tanzania(0.687)</t>
  </si>
  <si>
    <t>60. Germany(0.693)</t>
  </si>
  <si>
    <t>59. United Arab Emirates(0.696)</t>
  </si>
  <si>
    <t>58. Laos(0.700)</t>
  </si>
  <si>
    <t>57. China(0.702)</t>
  </si>
  <si>
    <t>56. Jamaica(0.702)</t>
  </si>
  <si>
    <t>55. Netherlands(0.706)</t>
  </si>
  <si>
    <t>54. Madagascar(0.707)</t>
  </si>
  <si>
    <t>53. United Kingdom(0.709)</t>
  </si>
  <si>
    <t>52. Lesotho(0.709)</t>
  </si>
  <si>
    <t>51. Argentina(0.710)</t>
  </si>
  <si>
    <t>50. Taiwan Province of China(0.710)</t>
  </si>
  <si>
    <t>49. Uganda(0.711)</t>
  </si>
  <si>
    <t>143. Afghanistan(0.215)</t>
  </si>
  <si>
    <t>142. Lebanon(0.311)</t>
  </si>
  <si>
    <t>141. Turkiye(0.318)</t>
  </si>
  <si>
    <t>140. Egypt(0.437)</t>
  </si>
  <si>
    <t>139. Bangladesh(0.446)</t>
  </si>
  <si>
    <t>138. Nepal(0.450)</t>
  </si>
  <si>
    <t>137. Yemen(0.453)</t>
  </si>
  <si>
    <t>136. Tunisia(0.458)</t>
  </si>
  <si>
    <t>135. Montenegro(0.483)</t>
  </si>
  <si>
    <t>134. Pakistan(0.497)</t>
  </si>
  <si>
    <t>133. Jordan(0.507)</t>
  </si>
  <si>
    <t>132. Sierra Leone(0.512)</t>
  </si>
  <si>
    <t>131. Georgia(0.520)</t>
  </si>
  <si>
    <t>130. Azerbaijan(0.522)</t>
  </si>
  <si>
    <t>129. Iran(0.523)</t>
  </si>
  <si>
    <t>128. Ukraine(0.531)</t>
  </si>
  <si>
    <t>127. Malawi(0.535)</t>
  </si>
  <si>
    <t>126. Serbia(0.536)</t>
  </si>
  <si>
    <t>125. Algeria(0.537)</t>
  </si>
  <si>
    <t>124. Hong Kong S.A.R. of China(0.541)</t>
  </si>
  <si>
    <t>123. Israel(0.542)</t>
  </si>
  <si>
    <t>122. North Macedonia(0.546)</t>
  </si>
  <si>
    <t>121. Lithuania(0.549)</t>
  </si>
  <si>
    <t>120. Ethiopia(0.551)</t>
  </si>
  <si>
    <t>119. Mongolia(0.553)</t>
  </si>
  <si>
    <t>118. Congo (Kinshasa)(0.554)</t>
  </si>
  <si>
    <t>117. Armenia(0.559)</t>
  </si>
  <si>
    <t>116. Morocco(0.562)</t>
  </si>
  <si>
    <t>115. Chad(0.565)</t>
  </si>
  <si>
    <t>114. Albania(0.568)</t>
  </si>
  <si>
    <t>113. Comoros(0.568)</t>
  </si>
  <si>
    <t>112. Iraq(0.576)</t>
  </si>
  <si>
    <t>111. Bosnia and Herzegovina(0.576)</t>
  </si>
  <si>
    <t>110. Benin(0.581)</t>
  </si>
  <si>
    <t>109. Congo (Brazzaville)(0.581)</t>
  </si>
  <si>
    <t>108. State of Palestine(0.582)</t>
  </si>
  <si>
    <t>107. South Korea(0.586)</t>
  </si>
  <si>
    <t>106. Moldova(0.590)</t>
  </si>
  <si>
    <t>105. Bulgaria(0.590)</t>
  </si>
  <si>
    <t>104. Togo(0.591)</t>
  </si>
  <si>
    <t>103. Cameroon(0.597)</t>
  </si>
  <si>
    <t>102. Kosovo(0.602)</t>
  </si>
  <si>
    <t>101. Libya(0.606)</t>
  </si>
  <si>
    <t>100. Russia(0.607)</t>
  </si>
  <si>
    <t>99. Greece(0.607)</t>
  </si>
  <si>
    <t>98. Croatia(0.610)</t>
  </si>
  <si>
    <t>97. Mozambique(0.615)</t>
  </si>
  <si>
    <t>48. Egypt(0.327)</t>
  </si>
  <si>
    <t>47. Myanmar(0.328)</t>
  </si>
  <si>
    <t>46. Malawi(0.332)</t>
  </si>
  <si>
    <t>45. Tunisia(0.334)</t>
  </si>
  <si>
    <t>44. Bahrain(0.336)</t>
  </si>
  <si>
    <t>43. Zambia(0.340)</t>
  </si>
  <si>
    <t>42. Ukraine(0.340)</t>
  </si>
  <si>
    <t>41. Nepal(0.346)</t>
  </si>
  <si>
    <t>40. Ivory Coast(0.347)</t>
  </si>
  <si>
    <t>39. Mozambique(0.350)</t>
  </si>
  <si>
    <t>38. Burkina Faso(0.353)</t>
  </si>
  <si>
    <t>37. Cameroon(0.354)</t>
  </si>
  <si>
    <t>36. Brazil(0.354)</t>
  </si>
  <si>
    <t>35. Mauritania(0.360)</t>
  </si>
  <si>
    <t>34. Pakistan(0.364)</t>
  </si>
  <si>
    <t>33. Gambia(0.366)</t>
  </si>
  <si>
    <t>32. Madagascar(0.366)</t>
  </si>
  <si>
    <t>31. Malta(0.369)</t>
  </si>
  <si>
    <t>30. State of Palestine(0.370)</t>
  </si>
  <si>
    <t>29. Ecuador(0.371)</t>
  </si>
  <si>
    <t>28. Peru(0.372)</t>
  </si>
  <si>
    <t>27. Comoros(0.378)</t>
  </si>
  <si>
    <t>26. Libya(0.386)</t>
  </si>
  <si>
    <t>25. Mali(0.388)</t>
  </si>
  <si>
    <t>24. Morocco(0.389)</t>
  </si>
  <si>
    <t>23. Cambodia(0.390)</t>
  </si>
  <si>
    <t>22. Niger(0.392)</t>
  </si>
  <si>
    <t>21. Uganda(0.393)</t>
  </si>
  <si>
    <t>20. Eswatini(0.395)</t>
  </si>
  <si>
    <t>19. Togo(0.399)</t>
  </si>
  <si>
    <t>18. Gabon(0.399)</t>
  </si>
  <si>
    <t>17. Bolivia(0.402)</t>
  </si>
  <si>
    <t>16. Turkiye(0.403)</t>
  </si>
  <si>
    <t>15. India(0.414)</t>
  </si>
  <si>
    <t>14. Liberia(0.433)</t>
  </si>
  <si>
    <t>13. Congo (Brazzaville)(0.434)</t>
  </si>
  <si>
    <t>12. Benin(0.434)</t>
  </si>
  <si>
    <t>11. Jordan(0.435)</t>
  </si>
  <si>
    <t>10. Iran(0.439)</t>
  </si>
  <si>
    <t>9. Bangladesh(0.443)</t>
  </si>
  <si>
    <t>8. Lebanon(0.461)</t>
  </si>
  <si>
    <t>7. Sierra Leone(0.461)</t>
  </si>
  <si>
    <t>6. Congo (Kinshasa)(0.477)</t>
  </si>
  <si>
    <t>5. Iraq(0.482)</t>
  </si>
  <si>
    <t>4. Armenia(0.483)</t>
  </si>
  <si>
    <t>3. Chad(0.484)</t>
  </si>
  <si>
    <t>2. Guinea(0.488)</t>
  </si>
  <si>
    <t>1. Afghanistan(0.548)</t>
  </si>
  <si>
    <t>96. Czechia(0.246)</t>
  </si>
  <si>
    <t>95. Slovakia(0.246)</t>
  </si>
  <si>
    <t>94. Belgium(0.247)</t>
  </si>
  <si>
    <t>93. Mexico(0.248)</t>
  </si>
  <si>
    <t>92. France(0.249)</t>
  </si>
  <si>
    <t>91. Slovenia(0.253)</t>
  </si>
  <si>
    <t>90. Croatia(0.255)</t>
  </si>
  <si>
    <t>89. United Arab Emirates(0.256)</t>
  </si>
  <si>
    <t>88. Kenya(0.259)</t>
  </si>
  <si>
    <t>87. Algeria(0.260)</t>
  </si>
  <si>
    <t>86. Romania(0.261)</t>
  </si>
  <si>
    <t>85. Moldova(0.263)</t>
  </si>
  <si>
    <t>84. Serbia(0.264)</t>
  </si>
  <si>
    <t>83. Uruguay(0.265)</t>
  </si>
  <si>
    <t>82. Botswana(0.266)</t>
  </si>
  <si>
    <t>81. Greece(0.269)</t>
  </si>
  <si>
    <t>80. United Kingdom(0.269)</t>
  </si>
  <si>
    <t>79. Senegal(0.270)</t>
  </si>
  <si>
    <t>78. Albania(0.274)</t>
  </si>
  <si>
    <t>77. Indonesia(0.276)</t>
  </si>
  <si>
    <t>76. United States(0.277)</t>
  </si>
  <si>
    <t>75. Bosnia and Herzegovina(0.280)</t>
  </si>
  <si>
    <t>74. Ghana(0.280)</t>
  </si>
  <si>
    <t>73. Dominican Republic(0.280)</t>
  </si>
  <si>
    <t>72. Honduras(0.281)</t>
  </si>
  <si>
    <t>71. Guatemala(0.281)</t>
  </si>
  <si>
    <t>70. North Macedonia(0.284)</t>
  </si>
  <si>
    <t>69. Lesotho(0.288)</t>
  </si>
  <si>
    <t>68. Jamaica(0.289)</t>
  </si>
  <si>
    <t>67. Canada(0.289)</t>
  </si>
  <si>
    <t>66. Costa Rica(0.290)</t>
  </si>
  <si>
    <t>65. Cyprus(0.291)</t>
  </si>
  <si>
    <t>64. Yemen(0.298)</t>
  </si>
  <si>
    <t>63. El Salvador(0.301)</t>
  </si>
  <si>
    <t>62. Italy(0.303)</t>
  </si>
  <si>
    <t>61. Portugal(0.303)</t>
  </si>
  <si>
    <t>60. Israel(0.304)</t>
  </si>
  <si>
    <t>59. Azerbaijan(0.308)</t>
  </si>
  <si>
    <t>58. Argentina(0.310)</t>
  </si>
  <si>
    <t>57. Colombia(0.312)</t>
  </si>
  <si>
    <t>56. Ethiopia(0.315)</t>
  </si>
  <si>
    <t>55. Philippines(0.316)</t>
  </si>
  <si>
    <t>54. Laos(0.317)</t>
  </si>
  <si>
    <t>53. Montenegro(0.317)</t>
  </si>
  <si>
    <t>52. Nicaragua(0.322)</t>
  </si>
  <si>
    <t>51. Spain(0.323)</t>
  </si>
  <si>
    <t>50. Sri Lanka(0.326)</t>
  </si>
  <si>
    <t>49. Venezuela(0.327)</t>
  </si>
  <si>
    <t>143. Taiwan Province of China(0.110)</t>
  </si>
  <si>
    <t>142. Kazakhstan(0.123)</t>
  </si>
  <si>
    <t>141. Kosovo(0.132)</t>
  </si>
  <si>
    <t>140. Mauritius(0.155)</t>
  </si>
  <si>
    <t>139. Vietnam(0.169)</t>
  </si>
  <si>
    <t>138. Iceland(0.175)</t>
  </si>
  <si>
    <t>137. Lithuania(0.177)</t>
  </si>
  <si>
    <t>136. Japan(0.177)</t>
  </si>
  <si>
    <t>135. Finland(0.180)</t>
  </si>
  <si>
    <t>134. Estonia(0.182)</t>
  </si>
  <si>
    <t>133. Switzerland(0.182)</t>
  </si>
  <si>
    <t>132. Kuwait(0.182)</t>
  </si>
  <si>
    <t>131. Sweden(0.183)</t>
  </si>
  <si>
    <t>130. Singapore(0.187)</t>
  </si>
  <si>
    <t>129. Malaysia(0.189)</t>
  </si>
  <si>
    <t>128. Poland(0.193)</t>
  </si>
  <si>
    <t>127. Russia(0.197)</t>
  </si>
  <si>
    <t>126. Kyrgyzstan(0.198)</t>
  </si>
  <si>
    <t>125. Latvia(0.200)</t>
  </si>
  <si>
    <t>124. Netherlands(0.201)</t>
  </si>
  <si>
    <t>123. Mongolia(0.203)</t>
  </si>
  <si>
    <t>122. Bulgaria(0.204)</t>
  </si>
  <si>
    <t>121. Zimbabwe(0.204)</t>
  </si>
  <si>
    <t>120. Luxembourg(0.206)</t>
  </si>
  <si>
    <t>119. Hungary(0.210)</t>
  </si>
  <si>
    <t>118. Hong Kong S.A.R. of China(0.213)</t>
  </si>
  <si>
    <t>117. Denmark(0.214)</t>
  </si>
  <si>
    <t>116. New Zealand(0.215)</t>
  </si>
  <si>
    <t>115. Norway(0.215)</t>
  </si>
  <si>
    <t>114. Tanzania(0.218)</t>
  </si>
  <si>
    <t>113. Uzbekistan(0.221)</t>
  </si>
  <si>
    <t>112. South Africa(0.221)</t>
  </si>
  <si>
    <t>111. Saudi Arabia(0.224)</t>
  </si>
  <si>
    <t>110. Germany(0.228)</t>
  </si>
  <si>
    <t>109. China(0.229)</t>
  </si>
  <si>
    <t>108. Tajikistan(0.230)</t>
  </si>
  <si>
    <t>107. Namibia(0.233)</t>
  </si>
  <si>
    <t>106. South Korea(0.233)</t>
  </si>
  <si>
    <t>105. Georgia(0.235)</t>
  </si>
  <si>
    <t>104. Nigeria(0.237)</t>
  </si>
  <si>
    <t>103. Austria(0.241)</t>
  </si>
  <si>
    <t>102. Ireland(0.242)</t>
  </si>
  <si>
    <t>101. Paraguay(0.242)</t>
  </si>
  <si>
    <t>100. Australia(0.242)</t>
  </si>
  <si>
    <t>99. Thailand(0.243)</t>
  </si>
  <si>
    <t>98. Panama(0.243)</t>
  </si>
  <si>
    <t>97. Chile(0.245)</t>
  </si>
  <si>
    <t>48. Argentina(6.188)</t>
  </si>
  <si>
    <t>47. Uzbekistan(6.195)</t>
  </si>
  <si>
    <t>46. Latvia(6.234)</t>
  </si>
  <si>
    <t>45. Slovakia(6.257)</t>
  </si>
  <si>
    <t>44. Brazil(6.272)</t>
  </si>
  <si>
    <t>43. Nicaragua(6.284)</t>
  </si>
  <si>
    <t>42. Guatemala(6.287)</t>
  </si>
  <si>
    <t>41. Italy(6.324)</t>
  </si>
  <si>
    <t>40. Malta(6.346)</t>
  </si>
  <si>
    <t>39. Panama(6.358)</t>
  </si>
  <si>
    <t>38. Chile(6.360)</t>
  </si>
  <si>
    <t>37. Serbia(6.411)</t>
  </si>
  <si>
    <t>36. Spain(6.421)</t>
  </si>
  <si>
    <t>35. Poland(6.442)</t>
  </si>
  <si>
    <t>34. Estonia(6.448)</t>
  </si>
  <si>
    <t>33. El Salvador(6.469)</t>
  </si>
  <si>
    <t>32. Romania(6.491)</t>
  </si>
  <si>
    <t>31. Taiwan Province of China(6.503)</t>
  </si>
  <si>
    <t>30. Singapore(6.523)</t>
  </si>
  <si>
    <t>29. Kosovo(6.561)</t>
  </si>
  <si>
    <t>28. Saudi Arabia(6.594)</t>
  </si>
  <si>
    <t>27. France(6.609)</t>
  </si>
  <si>
    <t>26. Uruguay(6.611)</t>
  </si>
  <si>
    <t>25. Mexico(6.678)</t>
  </si>
  <si>
    <t>24. Germany(6.719)</t>
  </si>
  <si>
    <t>23. United States(6.725)</t>
  </si>
  <si>
    <t>22. United Arab Emirates(6.733)</t>
  </si>
  <si>
    <t>21. Slovenia(6.743)</t>
  </si>
  <si>
    <t>20. United Kingdom(6.749)</t>
  </si>
  <si>
    <t>19. Lithuania(6.818)</t>
  </si>
  <si>
    <t>18. Czechia(6.822)</t>
  </si>
  <si>
    <t>17. Ireland(6.838)</t>
  </si>
  <si>
    <t>16. Belgium(6.894)</t>
  </si>
  <si>
    <t>15. Canada(6.900)</t>
  </si>
  <si>
    <t>14. Austria(6.905)</t>
  </si>
  <si>
    <t>13. Kuwait(6.951)</t>
  </si>
  <si>
    <t>12. Costa Rica(6.955)</t>
  </si>
  <si>
    <t>11. New Zealand(7.029)</t>
  </si>
  <si>
    <t>10. Australia(7.057)</t>
  </si>
  <si>
    <t>9. Switzerland(7.060)</t>
  </si>
  <si>
    <t>8. Luxembourg(7.122)</t>
  </si>
  <si>
    <t>7. Norway(7.302)</t>
  </si>
  <si>
    <t>6. Netherlands(7.319)</t>
  </si>
  <si>
    <t>5. Israel(7.341)</t>
  </si>
  <si>
    <t>4. Sweden(7.344)</t>
  </si>
  <si>
    <t>3. Iceland(7.525)</t>
  </si>
  <si>
    <t>2. Denmark(7.583)</t>
  </si>
  <si>
    <t>1. Finland(7.741)</t>
  </si>
  <si>
    <t>96. Ivory Coast(5.080)</t>
  </si>
  <si>
    <t>95. Gabon(5.106)</t>
  </si>
  <si>
    <t>94. Laos(5.139)</t>
  </si>
  <si>
    <t>93. Nepal(5.158)</t>
  </si>
  <si>
    <t>92. Iraq(5.166)</t>
  </si>
  <si>
    <t>91. Georgia(5.185)</t>
  </si>
  <si>
    <t>90. Mozambique(5.216)</t>
  </si>
  <si>
    <t>89. Congo (Brazzaville)(5.221)</t>
  </si>
  <si>
    <t>88. Tajikistan(5.281)</t>
  </si>
  <si>
    <t>87. Albania(5.304)</t>
  </si>
  <si>
    <t>86. Hong Kong S.A.R. of China(5.316)</t>
  </si>
  <si>
    <t>85. Algeria(5.364)</t>
  </si>
  <si>
    <t>84. North Macedonia(5.369)</t>
  </si>
  <si>
    <t>83. South Africa(5.422)</t>
  </si>
  <si>
    <t>82. Armenia(5.455)</t>
  </si>
  <si>
    <t>81. Bulgaria(5.463)</t>
  </si>
  <si>
    <t>80. Indonesia(5.568)</t>
  </si>
  <si>
    <t>79. Venezuela(5.607)</t>
  </si>
  <si>
    <t>78. Colombia(5.695)</t>
  </si>
  <si>
    <t>77. Mongolia(5.696)</t>
  </si>
  <si>
    <t>76. Montenegro(5.707)</t>
  </si>
  <si>
    <t>75. Kyrgyzstan(5.714)</t>
  </si>
  <si>
    <t>74. Ecuador(5.725)</t>
  </si>
  <si>
    <t>73. Bolivia(5.784)</t>
  </si>
  <si>
    <t>72. Russia(5.785)</t>
  </si>
  <si>
    <t>71. Moldova(5.816)</t>
  </si>
  <si>
    <t>70. Mauritius(5.816)</t>
  </si>
  <si>
    <t>69. Dominican Republic(5.823)</t>
  </si>
  <si>
    <t>68. Peru(5.841)</t>
  </si>
  <si>
    <t>67. Jamaica(5.842)</t>
  </si>
  <si>
    <t>66. Libya(5.866)</t>
  </si>
  <si>
    <t>65. Bosnia and Herzegovina(5.877)</t>
  </si>
  <si>
    <t>64. Greece(5.934)</t>
  </si>
  <si>
    <t>63. Croatia(5.942)</t>
  </si>
  <si>
    <t>62. Bahrain(5.959)</t>
  </si>
  <si>
    <t>61. Honduras(5.968)</t>
  </si>
  <si>
    <t>60. China(5.973)</t>
  </si>
  <si>
    <t>59. Malaysia(5.975)</t>
  </si>
  <si>
    <t>58. Thailand(5.976)</t>
  </si>
  <si>
    <t>57. Paraguay(5.977)</t>
  </si>
  <si>
    <t>56. Hungary(6.017)</t>
  </si>
  <si>
    <t>55. Portugal(6.030)</t>
  </si>
  <si>
    <t>54. Vietnam(6.043)</t>
  </si>
  <si>
    <t>53. Philippines(6.048)</t>
  </si>
  <si>
    <t>52. South Korea(6.058)</t>
  </si>
  <si>
    <t>51. Japan(6.060)</t>
  </si>
  <si>
    <t>50. Cyprus(6.068)</t>
  </si>
  <si>
    <t>49. Kazakhstan(6.188)</t>
  </si>
  <si>
    <t>143. Afghanistan(1.721)</t>
  </si>
  <si>
    <t>142. Lebanon(2.707)</t>
  </si>
  <si>
    <t>141. Lesotho(3.186)</t>
  </si>
  <si>
    <t>140. Sierra Leone(3.245)</t>
  </si>
  <si>
    <t>139. Congo (Kinshasa)(3.295)</t>
  </si>
  <si>
    <t>138. Zimbabwe(3.341)</t>
  </si>
  <si>
    <t>137. Botswana(3.383)</t>
  </si>
  <si>
    <t>136. Malawi(3.421)</t>
  </si>
  <si>
    <t>135. Eswatini(3.502)</t>
  </si>
  <si>
    <t>134. Zambia(3.502)</t>
  </si>
  <si>
    <t>133. Yemen(3.561)</t>
  </si>
  <si>
    <t>132. Comoros(3.566)</t>
  </si>
  <si>
    <t>131. Tanzania(3.781)</t>
  </si>
  <si>
    <t>130. Ethiopia(3.861)</t>
  </si>
  <si>
    <t>129. Bangladesh(3.886)</t>
  </si>
  <si>
    <t>128. Sri Lanka(3.898)</t>
  </si>
  <si>
    <t>127. Egypt(3.977)</t>
  </si>
  <si>
    <t>126. India(4.054)</t>
  </si>
  <si>
    <t>125. Jordan(4.186)</t>
  </si>
  <si>
    <t>124. Togo(4.214)</t>
  </si>
  <si>
    <t>123. Madagascar(4.228)</t>
  </si>
  <si>
    <t>122. Mali(4.232)</t>
  </si>
  <si>
    <t>121. Liberia(4.269)</t>
  </si>
  <si>
    <t>120. Ghana(4.289)</t>
  </si>
  <si>
    <t>119. Cambodia(4.341)</t>
  </si>
  <si>
    <t>118. Myanmar(4.354)</t>
  </si>
  <si>
    <t>117. Uganda(4.372)</t>
  </si>
  <si>
    <t>116. Benin(4.377)</t>
  </si>
  <si>
    <t>115. Tunisia(4.422)</t>
  </si>
  <si>
    <t>114. Kenya(4.470)</t>
  </si>
  <si>
    <t>113. Chad(4.471)</t>
  </si>
  <si>
    <t>112. Gambia(4.485)</t>
  </si>
  <si>
    <t>111. Mauritania(4.505)</t>
  </si>
  <si>
    <t>110. Burkina Faso(4.548)</t>
  </si>
  <si>
    <t>109. Niger(4.556)</t>
  </si>
  <si>
    <t>108. Pakistan(4.657)</t>
  </si>
  <si>
    <t>107. Morocco(4.795)</t>
  </si>
  <si>
    <t>106. Namibia(4.832)</t>
  </si>
  <si>
    <t>105. Ukraine(4.873)</t>
  </si>
  <si>
    <t>104. Cameroon(4.874)</t>
  </si>
  <si>
    <t>103. State of Palestine(4.879)</t>
  </si>
  <si>
    <t>102. Nigeria(4.881)</t>
  </si>
  <si>
    <t>101. Azerbaijan(4.893)</t>
  </si>
  <si>
    <t>100. Iran(4.923)</t>
  </si>
  <si>
    <t>99. Senegal(4.969)</t>
  </si>
  <si>
    <t>98. Turkiye(4.975)</t>
  </si>
  <si>
    <t>97. Guinea(5.023)</t>
  </si>
  <si>
    <t>Happiness</t>
  </si>
  <si>
    <t>Positive Affect</t>
  </si>
  <si>
    <t>Negative Affect</t>
  </si>
  <si>
    <t>Argentina(6.188)</t>
  </si>
  <si>
    <t>Bulgaria( 26,639)</t>
  </si>
  <si>
    <t>France(0.876)</t>
  </si>
  <si>
    <t>Hungary(67.200)</t>
  </si>
  <si>
    <t>Honduras(0.854)</t>
  </si>
  <si>
    <t>Nepal(0.385)</t>
  </si>
  <si>
    <t>Argentina(0.824)</t>
  </si>
  <si>
    <t>Belgium(0.711)</t>
  </si>
  <si>
    <t>Egypt(0.327)</t>
  </si>
  <si>
    <t>Uzbekistan(6.195)</t>
  </si>
  <si>
    <t>Russia( 27,634)</t>
  </si>
  <si>
    <t>Russia(0.878)</t>
  </si>
  <si>
    <t>Bosnia and Herzegovina(67.200)</t>
  </si>
  <si>
    <t>Panama(0.854)</t>
  </si>
  <si>
    <t>Cyprus(0.389)</t>
  </si>
  <si>
    <t>Latvia(0.827)</t>
  </si>
  <si>
    <t>Vietnam(0.713)</t>
  </si>
  <si>
    <t>Myanmar(0.328)</t>
  </si>
  <si>
    <t>Latvia(6.234)</t>
  </si>
  <si>
    <t>Malaysia( 27,926)</t>
  </si>
  <si>
    <t>Japan(0.879)</t>
  </si>
  <si>
    <t>Uruguay(67.500)</t>
  </si>
  <si>
    <t>Mexico(0.855)</t>
  </si>
  <si>
    <t>South Korea(0.390)</t>
  </si>
  <si>
    <t>Ecuador(0.827)</t>
  </si>
  <si>
    <t>Malawi(0.332)</t>
  </si>
  <si>
    <t>Slovakia(6.257)</t>
  </si>
  <si>
    <t>Greece( 31,139)</t>
  </si>
  <si>
    <t>Luxembourg(0.879)</t>
  </si>
  <si>
    <t>Jordan(67.600)</t>
  </si>
  <si>
    <t>Netherlands(0.858)</t>
  </si>
  <si>
    <t>Kazakhstan(0.398)</t>
  </si>
  <si>
    <t>Guatemala(0.828)</t>
  </si>
  <si>
    <t>Nigeria(0.716)</t>
  </si>
  <si>
    <t>Tunisia(0.334)</t>
  </si>
  <si>
    <t>Brazil(6.272)</t>
  </si>
  <si>
    <t>Romania( 32,515)</t>
  </si>
  <si>
    <t>Mauritius(0.880)</t>
  </si>
  <si>
    <t>Thailand(68.300)</t>
  </si>
  <si>
    <t>Malta(0.859)</t>
  </si>
  <si>
    <t>Chile(0.831)</t>
  </si>
  <si>
    <t>Austria(0.718)</t>
  </si>
  <si>
    <t>Nicaragua(6.284)</t>
  </si>
  <si>
    <t>Latvia( 32,633)</t>
  </si>
  <si>
    <t>Turkiye(68.400)</t>
  </si>
  <si>
    <t>Zambia(0.859)</t>
  </si>
  <si>
    <t>Finland(0.425)</t>
  </si>
  <si>
    <t>Liberia(0.832)</t>
  </si>
  <si>
    <t>United States(0.719)</t>
  </si>
  <si>
    <t>Zambia(0.340)</t>
  </si>
  <si>
    <t>Guatemala(6.287)</t>
  </si>
  <si>
    <t>Turkiye( 32,753)</t>
  </si>
  <si>
    <t>Singapore(0.881)</t>
  </si>
  <si>
    <t>Mozambique(0.860)</t>
  </si>
  <si>
    <t>Kyrgyzstan(0.436)</t>
  </si>
  <si>
    <t>Pakistan(0.833)</t>
  </si>
  <si>
    <t>Sri Lanka(0.720)</t>
  </si>
  <si>
    <t>Ukraine(0.340)</t>
  </si>
  <si>
    <t>Italy(6.324)</t>
  </si>
  <si>
    <t>Panama( 32,766)</t>
  </si>
  <si>
    <t>Ecuador(68.500)</t>
  </si>
  <si>
    <t>Belgium(0.860)</t>
  </si>
  <si>
    <t>Israel(0.440)</t>
  </si>
  <si>
    <t>Italy(0.833)</t>
  </si>
  <si>
    <t>Gambia(0.723)</t>
  </si>
  <si>
    <t>Nepal(0.346)</t>
  </si>
  <si>
    <t>Malta(6.346)</t>
  </si>
  <si>
    <t>Slovakia( 33,127)</t>
  </si>
  <si>
    <t>Portugal(0.884)</t>
  </si>
  <si>
    <t>Slovakia(68.500)</t>
  </si>
  <si>
    <t>Dominican Republic(0.861)</t>
  </si>
  <si>
    <t>Slovenia(0.446)</t>
  </si>
  <si>
    <t>Australia(0.728)</t>
  </si>
  <si>
    <t>Ivory Coast(0.347)</t>
  </si>
  <si>
    <t>Panama(6.358)</t>
  </si>
  <si>
    <t>Croatia( 33,562)</t>
  </si>
  <si>
    <t>Chile(0.884)</t>
  </si>
  <si>
    <t>Croatia(68.600)</t>
  </si>
  <si>
    <t>Canada(0.861)</t>
  </si>
  <si>
    <t>New Zealand(0.730)</t>
  </si>
  <si>
    <t>Mozambique(0.350)</t>
  </si>
  <si>
    <t>Chile(6.360)</t>
  </si>
  <si>
    <t>Hungary( 34,732)</t>
  </si>
  <si>
    <t>South Africa(0.885)</t>
  </si>
  <si>
    <t>Panama(68.700)</t>
  </si>
  <si>
    <t>Kazakhstan(0.863)</t>
  </si>
  <si>
    <t>Estonia(0.458)</t>
  </si>
  <si>
    <t>Cambodia(0.837)</t>
  </si>
  <si>
    <t>Dominican Republic(0.732)</t>
  </si>
  <si>
    <t>Burkina Faso(0.353)</t>
  </si>
  <si>
    <t>Serbia(6.411)</t>
  </si>
  <si>
    <t>Portugal( 35,282)</t>
  </si>
  <si>
    <t>Costa Rica(0.886)</t>
  </si>
  <si>
    <t>Poland(68.700)</t>
  </si>
  <si>
    <t>Guatemala(0.865)</t>
  </si>
  <si>
    <t>North Macedonia(0.458)</t>
  </si>
  <si>
    <t>Senegal(0.840)</t>
  </si>
  <si>
    <t>Uzbekistan(0.732)</t>
  </si>
  <si>
    <t>Cameroon(0.354)</t>
  </si>
  <si>
    <t>Spain(6.421)</t>
  </si>
  <si>
    <t>Poland( 36,321)</t>
  </si>
  <si>
    <t>Argentina(0.889)</t>
  </si>
  <si>
    <t>Czechia(68.800)</t>
  </si>
  <si>
    <t>Ethiopia(0.474)</t>
  </si>
  <si>
    <t>Kenya(0.840)</t>
  </si>
  <si>
    <t>Switzerland(0.734)</t>
  </si>
  <si>
    <t>Brazil(0.354)</t>
  </si>
  <si>
    <t>Poland(6.442)</t>
  </si>
  <si>
    <t>Estonia( 37,822)</t>
  </si>
  <si>
    <t>Germany(0.893)</t>
  </si>
  <si>
    <t>Colombia(69.000)</t>
  </si>
  <si>
    <t>Serbia(0.482)</t>
  </si>
  <si>
    <t>Czechia(0.841)</t>
  </si>
  <si>
    <t>Mauritania(0.360)</t>
  </si>
  <si>
    <t>Estonia(6.448)</t>
  </si>
  <si>
    <t>Lithuania( 39,349)</t>
  </si>
  <si>
    <t>Ireland(0.893)</t>
  </si>
  <si>
    <t>Albania(69.100)</t>
  </si>
  <si>
    <t>Singapore(0.871)</t>
  </si>
  <si>
    <t>Czechia(0.486)</t>
  </si>
  <si>
    <t>Hungary(0.842)</t>
  </si>
  <si>
    <t>Luxembourg(0.735)</t>
  </si>
  <si>
    <t>Pakistan(0.364)</t>
  </si>
  <si>
    <t>El Salvador(6.469)</t>
  </si>
  <si>
    <t>Spain( 39,406)</t>
  </si>
  <si>
    <t>Serbia(0.893)</t>
  </si>
  <si>
    <t>Estonia(69.200)</t>
  </si>
  <si>
    <t>New Zealand(0.872)</t>
  </si>
  <si>
    <t>Belgium(0.492)</t>
  </si>
  <si>
    <t>Paraguay(0.845)</t>
  </si>
  <si>
    <t>Cambodia(0.736)</t>
  </si>
  <si>
    <t>Gambia(0.366)</t>
  </si>
  <si>
    <t>Romania(6.491)</t>
  </si>
  <si>
    <t>Czechia( 41,371)</t>
  </si>
  <si>
    <t>United States(0.893)</t>
  </si>
  <si>
    <t>Peru(69.500)</t>
  </si>
  <si>
    <t>Thailand(0.880)</t>
  </si>
  <si>
    <t>Luxembourg(0.495)</t>
  </si>
  <si>
    <t>Namibia(0.850)</t>
  </si>
  <si>
    <t>Czechia(0.736)</t>
  </si>
  <si>
    <t>Madagascar(0.366)</t>
  </si>
  <si>
    <t>Slovenia( 41,658)</t>
  </si>
  <si>
    <t>Panama(0.893)</t>
  </si>
  <si>
    <t>Costa Rica(70.000)</t>
  </si>
  <si>
    <t>Australia(0.880)</t>
  </si>
  <si>
    <t>Germany(0.498)</t>
  </si>
  <si>
    <t>Bolivia(0.851)</t>
  </si>
  <si>
    <t>Canada(0.736)</t>
  </si>
  <si>
    <t>Malta(0.369)</t>
  </si>
  <si>
    <t>Singapore(6.523)</t>
  </si>
  <si>
    <t>Japan( 41,672)</t>
  </si>
  <si>
    <t>Uzbekistan(0.894)</t>
  </si>
  <si>
    <t>Chile(70.000)</t>
  </si>
  <si>
    <t>Portugal(0.881)</t>
  </si>
  <si>
    <t>Switzerland(0.516)</t>
  </si>
  <si>
    <t>Cameroon(0.851)</t>
  </si>
  <si>
    <t>Finland(0.736)</t>
  </si>
  <si>
    <t>Cyprus( 42,647)</t>
  </si>
  <si>
    <t>Paraguay(0.900)</t>
  </si>
  <si>
    <t>Ireland(0.881)</t>
  </si>
  <si>
    <t>Uzbekistan(0.521)</t>
  </si>
  <si>
    <t>Colombia(0.854)</t>
  </si>
  <si>
    <t>Ecuador(0.371)</t>
  </si>
  <si>
    <t>Italy( 43,429)</t>
  </si>
  <si>
    <t>Poland(0.903)</t>
  </si>
  <si>
    <t>United Kingdom(70.100)</t>
  </si>
  <si>
    <t>Switzerland(0.882)</t>
  </si>
  <si>
    <t>Mongolia(0.521)</t>
  </si>
  <si>
    <t>Slovakia(0.855)</t>
  </si>
  <si>
    <t>Ireland(0.737)</t>
  </si>
  <si>
    <t>Peru(0.372)</t>
  </si>
  <si>
    <t>France(6.609)</t>
  </si>
  <si>
    <t>Israel( 43,776)</t>
  </si>
  <si>
    <t>Switzerland(0.906)</t>
  </si>
  <si>
    <t>New Zealand(70.200)</t>
  </si>
  <si>
    <t>India(0.888)</t>
  </si>
  <si>
    <t>Iran(0.534)</t>
  </si>
  <si>
    <t>Mongolia(0.858)</t>
  </si>
  <si>
    <t>Kenya(0.742)</t>
  </si>
  <si>
    <t>Comoros(0.378)</t>
  </si>
  <si>
    <t>Uruguay(6.611)</t>
  </si>
  <si>
    <t>New Zealand( 44,715)</t>
  </si>
  <si>
    <t>Uruguay(0.909)</t>
  </si>
  <si>
    <t>Belgium(70.600)</t>
  </si>
  <si>
    <t>Bangladesh(0.894)</t>
  </si>
  <si>
    <t>Kenya(0.547)</t>
  </si>
  <si>
    <t>Indonesia(0.859)</t>
  </si>
  <si>
    <t>Bolivia(0.743)</t>
  </si>
  <si>
    <t>Libya(0.386)</t>
  </si>
  <si>
    <t>Mexico(6.678)</t>
  </si>
  <si>
    <t>South Korea( 45,313)</t>
  </si>
  <si>
    <t>Belgium(0.912)</t>
  </si>
  <si>
    <t>Slovenia(70.700)</t>
  </si>
  <si>
    <t>Uruguay(0.894)</t>
  </si>
  <si>
    <t>Uganda(0.860)</t>
  </si>
  <si>
    <t>South Africa(0.747)</t>
  </si>
  <si>
    <t>Mali(0.388)</t>
  </si>
  <si>
    <t>Germany(6.719)</t>
  </si>
  <si>
    <t>France( 45,750)</t>
  </si>
  <si>
    <t>Malta(0.914)</t>
  </si>
  <si>
    <t>Australia(70.900)</t>
  </si>
  <si>
    <t>Indonesia(0.897)</t>
  </si>
  <si>
    <t>Sierra Leone(0.861)</t>
  </si>
  <si>
    <t>Sweden(0.751)</t>
  </si>
  <si>
    <t>Morocco(0.389)</t>
  </si>
  <si>
    <t>United States(6.725)</t>
  </si>
  <si>
    <t>United Kingdom( 46,260)</t>
  </si>
  <si>
    <t>Croatia(0.914)</t>
  </si>
  <si>
    <t>Greece(70.900)</t>
  </si>
  <si>
    <t>Czechia(0.902)</t>
  </si>
  <si>
    <t>Malaysia(0.558)</t>
  </si>
  <si>
    <t>Cyprus(0.867)</t>
  </si>
  <si>
    <t>Malaysia(0.752)</t>
  </si>
  <si>
    <t>Cambodia(0.390)</t>
  </si>
  <si>
    <t>Malta( 46,889)</t>
  </si>
  <si>
    <t>Lithuania(0.917)</t>
  </si>
  <si>
    <t>Austria(70.900)</t>
  </si>
  <si>
    <t>Bosnia and Herzegovina(0.563)</t>
  </si>
  <si>
    <t>Albania(0.867)</t>
  </si>
  <si>
    <t>Colombia(0.758)</t>
  </si>
  <si>
    <t>Niger(0.392)</t>
  </si>
  <si>
    <t>Slovenia(6.743)</t>
  </si>
  <si>
    <t>Canada( 48,637)</t>
  </si>
  <si>
    <t>Kazakhstan(0.919)</t>
  </si>
  <si>
    <t>Germany(70.900)</t>
  </si>
  <si>
    <t>Paraguay(0.903)</t>
  </si>
  <si>
    <t>Denmark(0.566)</t>
  </si>
  <si>
    <t>Iraq(0.869)</t>
  </si>
  <si>
    <t>Uruguay(0.759)</t>
  </si>
  <si>
    <t>Uganda(0.393)</t>
  </si>
  <si>
    <t>United Kingdom(6.749)</t>
  </si>
  <si>
    <t>Canada(0.919)</t>
  </si>
  <si>
    <t>Denmark(71.000)</t>
  </si>
  <si>
    <t>Slovenia(0.904)</t>
  </si>
  <si>
    <t>Gambia(0.869)</t>
  </si>
  <si>
    <t>Ecuador(0.761)</t>
  </si>
  <si>
    <t>Eswatini(0.395)</t>
  </si>
  <si>
    <t>Lithuania(6.818)</t>
  </si>
  <si>
    <t>Finland( 49,244)</t>
  </si>
  <si>
    <t>Australia(0.920)</t>
  </si>
  <si>
    <t>Finland(71.000)</t>
  </si>
  <si>
    <t>Nicaragua(0.907)</t>
  </si>
  <si>
    <t>Gambia(0.577)</t>
  </si>
  <si>
    <t>Moldova(0.873)</t>
  </si>
  <si>
    <t>Norway(0.762)</t>
  </si>
  <si>
    <t>Togo(0.399)</t>
  </si>
  <si>
    <t>Czechia(6.822)</t>
  </si>
  <si>
    <t>Netherlands(0.921)</t>
  </si>
  <si>
    <t>Portugal(71.000)</t>
  </si>
  <si>
    <t>Laos(0.909)</t>
  </si>
  <si>
    <t>Austria(0.582)</t>
  </si>
  <si>
    <t>Croatia(0.875)</t>
  </si>
  <si>
    <t>Chile(0.763)</t>
  </si>
  <si>
    <t>Gabon(0.399)</t>
  </si>
  <si>
    <t>Ireland(6.838)</t>
  </si>
  <si>
    <t>Australia( 50,703)</t>
  </si>
  <si>
    <t>Bulgaria(0.923)</t>
  </si>
  <si>
    <t>Ireland(71.100)</t>
  </si>
  <si>
    <t>Costa Rica(0.909)</t>
  </si>
  <si>
    <t>Singapore(0.586)</t>
  </si>
  <si>
    <t>Panama(0.876)</t>
  </si>
  <si>
    <t>Niger(0.764)</t>
  </si>
  <si>
    <t>Bolivia(0.402)</t>
  </si>
  <si>
    <t>Belgium(6.894)</t>
  </si>
  <si>
    <t>Belgium( 52,743)</t>
  </si>
  <si>
    <t>Spain(0.924)</t>
  </si>
  <si>
    <t>Canada(71.300)</t>
  </si>
  <si>
    <t>Luxembourg(0.913)</t>
  </si>
  <si>
    <t>New Zealand(0.592)</t>
  </si>
  <si>
    <t>Portugal(0.886)</t>
  </si>
  <si>
    <t>Estonia(0.765)</t>
  </si>
  <si>
    <t>Turkiye(0.403)</t>
  </si>
  <si>
    <t>Canada(6.900)</t>
  </si>
  <si>
    <t>Kyrgyzstan(0.927)</t>
  </si>
  <si>
    <t>Netherlands(71.400)</t>
  </si>
  <si>
    <t>Estonia(0.916)</t>
  </si>
  <si>
    <t>South Africa(0.887)</t>
  </si>
  <si>
    <t>Peru(0.769)</t>
  </si>
  <si>
    <t>India(0.414)</t>
  </si>
  <si>
    <t>Austria(6.905)</t>
  </si>
  <si>
    <t>Germany( 53,243)</t>
  </si>
  <si>
    <t>Sweden(0.936)</t>
  </si>
  <si>
    <t>Norway(71.400)</t>
  </si>
  <si>
    <t>Sweden(0.596)</t>
  </si>
  <si>
    <t>Sri Lanka(0.892)</t>
  </si>
  <si>
    <t>Thailand(0.770)</t>
  </si>
  <si>
    <t>Liberia(0.433)</t>
  </si>
  <si>
    <t>Sweden( 54,291)</t>
  </si>
  <si>
    <t>Slovenia(0.936)</t>
  </si>
  <si>
    <t>Malta(71.500)</t>
  </si>
  <si>
    <t>El Salvador(0.924)</t>
  </si>
  <si>
    <t>Australia(0.600)</t>
  </si>
  <si>
    <t>Kyrgyzstan(0.893)</t>
  </si>
  <si>
    <t>Denmark(0.778)</t>
  </si>
  <si>
    <t>Costa Rica(6.955)</t>
  </si>
  <si>
    <t>Iceland( 54,692)</t>
  </si>
  <si>
    <t>Latvia(0.939)</t>
  </si>
  <si>
    <t>Luxembourg(71.600)</t>
  </si>
  <si>
    <t>Iceland(0.925)</t>
  </si>
  <si>
    <t>Canada(0.606)</t>
  </si>
  <si>
    <t>Lebanon(0.894)</t>
  </si>
  <si>
    <t>Honduras(0.784)</t>
  </si>
  <si>
    <t>Benin(0.434)</t>
  </si>
  <si>
    <t>New Zealand(7.029)</t>
  </si>
  <si>
    <t>Austria( 55,409)</t>
  </si>
  <si>
    <t>Mongolia(0.940)</t>
  </si>
  <si>
    <t>Italy(71.900)</t>
  </si>
  <si>
    <t>Denmark(0.928)</t>
  </si>
  <si>
    <t>United States(0.613)</t>
  </si>
  <si>
    <t>Peru(0.895)</t>
  </si>
  <si>
    <t>Nicaragua(0.788)</t>
  </si>
  <si>
    <t>Jordan(0.435)</t>
  </si>
  <si>
    <t>Australia(7.057)</t>
  </si>
  <si>
    <t>Netherlands( 57,904)</t>
  </si>
  <si>
    <t>Czechia(0.940)</t>
  </si>
  <si>
    <t>Sweden(71.900)</t>
  </si>
  <si>
    <t>Philippines(0.931)</t>
  </si>
  <si>
    <t>Ireland(0.614)</t>
  </si>
  <si>
    <t>Jamaica(0.895)</t>
  </si>
  <si>
    <t>Iceland(0.790)</t>
  </si>
  <si>
    <t>Iran(0.439)</t>
  </si>
  <si>
    <t>Switzerland(7.060)</t>
  </si>
  <si>
    <t>Denmark( 59,100)</t>
  </si>
  <si>
    <t>Israel(0.941)</t>
  </si>
  <si>
    <t>Iceland(72.000)</t>
  </si>
  <si>
    <t>Norway(0.617)</t>
  </si>
  <si>
    <t>Ghana(0.896)</t>
  </si>
  <si>
    <t>Costa Rica(0.792)</t>
  </si>
  <si>
    <t>Bangladesh(0.443)</t>
  </si>
  <si>
    <t>Luxembourg(7.122)</t>
  </si>
  <si>
    <t>Norway(0.942)</t>
  </si>
  <si>
    <t>Spain(72.100)</t>
  </si>
  <si>
    <t>Malaysia(0.933)</t>
  </si>
  <si>
    <t>Ukraine(0.620)</t>
  </si>
  <si>
    <t>Ukraine(0.899)</t>
  </si>
  <si>
    <t>Mexico(0.793)</t>
  </si>
  <si>
    <t>Lebanon(0.461)</t>
  </si>
  <si>
    <t>Norway(7.302)</t>
  </si>
  <si>
    <t>United States( 64,595)</t>
  </si>
  <si>
    <t>Denmark(0.944)</t>
  </si>
  <si>
    <t>France(72.100)</t>
  </si>
  <si>
    <t>Kyrgyzstan(0.937)</t>
  </si>
  <si>
    <t>Thailand(0.644)</t>
  </si>
  <si>
    <t>Thailand(0.901)</t>
  </si>
  <si>
    <t>Philippines(0.808)</t>
  </si>
  <si>
    <t>Sierra Leone(0.461)</t>
  </si>
  <si>
    <t>Netherlands(7.319)</t>
  </si>
  <si>
    <t>Norway( 67,061)</t>
  </si>
  <si>
    <t>New Zealand(0.946)</t>
  </si>
  <si>
    <t>Cyprus(72.400)</t>
  </si>
  <si>
    <t>Uzbekistan(0.937)</t>
  </si>
  <si>
    <t>Netherlands(0.654)</t>
  </si>
  <si>
    <t>Nigeria(0.908)</t>
  </si>
  <si>
    <t>Indonesia(0.812)</t>
  </si>
  <si>
    <t>Israel(7.341)</t>
  </si>
  <si>
    <t>Switzerland( 70,670)</t>
  </si>
  <si>
    <t>Estonia(0.946)</t>
  </si>
  <si>
    <t>Israel(72.400)</t>
  </si>
  <si>
    <t>Norway(0.938)</t>
  </si>
  <si>
    <t>Iceland(0.675)</t>
  </si>
  <si>
    <t>Tunisia(0.909)</t>
  </si>
  <si>
    <t>Senegal(0.814)</t>
  </si>
  <si>
    <t>Iraq(0.482)</t>
  </si>
  <si>
    <t>Sweden(7.344)</t>
  </si>
  <si>
    <t>Hungary(0.947)</t>
  </si>
  <si>
    <t>Switzerland(72.500)</t>
  </si>
  <si>
    <t>Sweden(0.940)</t>
  </si>
  <si>
    <t>United Kingdom(0.677)</t>
  </si>
  <si>
    <t>North Macedonia(0.914)</t>
  </si>
  <si>
    <t>Paraguay(0.820)</t>
  </si>
  <si>
    <t>Armenia(0.483)</t>
  </si>
  <si>
    <t>Iceland(7.525)</t>
  </si>
  <si>
    <t>Singapore(107,891)</t>
  </si>
  <si>
    <t>Slovakia(0.951)</t>
  </si>
  <si>
    <t>South Korea(73.100)</t>
  </si>
  <si>
    <t>Vietnam(0.943)</t>
  </si>
  <si>
    <t>Malta(0.678)</t>
  </si>
  <si>
    <t>Romania(0.925)</t>
  </si>
  <si>
    <t>El Salvador(0.824)</t>
  </si>
  <si>
    <t>Chad(0.484)</t>
  </si>
  <si>
    <t>Denmark(7.583)</t>
  </si>
  <si>
    <t>Ireland(111,256)</t>
  </si>
  <si>
    <t>Finland(0.964)</t>
  </si>
  <si>
    <t>Singapore(73.600)</t>
  </si>
  <si>
    <t>Finland(0.955)</t>
  </si>
  <si>
    <t>Myanmar(0.779)</t>
  </si>
  <si>
    <t>Bulgaria(0.925)</t>
  </si>
  <si>
    <t>Panama(0.829)</t>
  </si>
  <si>
    <t>Guinea(0.488)</t>
  </si>
  <si>
    <t>Finland(7.741)</t>
  </si>
  <si>
    <t>Luxembourg(115,041)</t>
  </si>
  <si>
    <t>Iceland(0.981)</t>
  </si>
  <si>
    <t>Japan(74.100)</t>
  </si>
  <si>
    <t>Cambodia(0.958)</t>
  </si>
  <si>
    <t>Indonesia(0.857)</t>
  </si>
  <si>
    <t>Bosnia and Herzegovina(0.934)</t>
  </si>
  <si>
    <t>Guatemala(0.843)</t>
  </si>
  <si>
    <t>Afghanistan(0.548)</t>
  </si>
  <si>
    <t>Ivory Coast(5.080)</t>
  </si>
  <si>
    <t>Bolivia( 8,185)</t>
  </si>
  <si>
    <t>Gabon(0.755)</t>
  </si>
  <si>
    <t>Philippines(62.000)</t>
  </si>
  <si>
    <t>Botswana(0.743)</t>
  </si>
  <si>
    <t>Croatia(0.240)</t>
  </si>
  <si>
    <t>Myanmar(0.696)</t>
  </si>
  <si>
    <t>Ghana(0.616)</t>
  </si>
  <si>
    <t>Czechia(0.246)</t>
  </si>
  <si>
    <t>Gabon(5.106)</t>
  </si>
  <si>
    <t>Philippines( 8,541)</t>
  </si>
  <si>
    <t>Nigeria(0.770)</t>
  </si>
  <si>
    <t>Benin(0.743)</t>
  </si>
  <si>
    <t>Mexico(0.245)</t>
  </si>
  <si>
    <t>Armenia(0.698)</t>
  </si>
  <si>
    <t>India(0.617)</t>
  </si>
  <si>
    <t>Slovakia(0.246)</t>
  </si>
  <si>
    <t>Laos(5.139)</t>
  </si>
  <si>
    <t>Iraq( 8,961)</t>
  </si>
  <si>
    <t>El Salvador(0.772)</t>
  </si>
  <si>
    <t>Guatemala(62.300)</t>
  </si>
  <si>
    <t>Malawi(0.746)</t>
  </si>
  <si>
    <t>Dominican Republic(0.245)</t>
  </si>
  <si>
    <t>United States(0.703)</t>
  </si>
  <si>
    <t>Poland(0.619)</t>
  </si>
  <si>
    <t>Belgium(0.247)</t>
  </si>
  <si>
    <t>Nepal(5.158)</t>
  </si>
  <si>
    <t>Eswatini( 9,132)</t>
  </si>
  <si>
    <t>Libya(0.779)</t>
  </si>
  <si>
    <t>Iraq(62.700)</t>
  </si>
  <si>
    <t>North Macedonia(0.752)</t>
  </si>
  <si>
    <t>Turkiye(0.245)</t>
  </si>
  <si>
    <t>Bangladesh(0.705)</t>
  </si>
  <si>
    <t>Zimbabwe(0.620)</t>
  </si>
  <si>
    <t>Mexico(0.248)</t>
  </si>
  <si>
    <t>Iraq(5.166)</t>
  </si>
  <si>
    <t>Guatemala( 9,243)</t>
  </si>
  <si>
    <t>Iran(0.794)</t>
  </si>
  <si>
    <t>Indonesia(62.800)</t>
  </si>
  <si>
    <t>Hungary(0.753)</t>
  </si>
  <si>
    <t>Liberia(0.248)</t>
  </si>
  <si>
    <t>Laos(0.707)</t>
  </si>
  <si>
    <t>Liberia(0.623)</t>
  </si>
  <si>
    <t>France(0.249)</t>
  </si>
  <si>
    <t>Georgia(5.185)</t>
  </si>
  <si>
    <t>Jordan( 9,316)</t>
  </si>
  <si>
    <t>Malaysia(0.796)</t>
  </si>
  <si>
    <t>Honduras(63.000)</t>
  </si>
  <si>
    <t>Sri Lanka(0.755)</t>
  </si>
  <si>
    <t>Mauritania(0.249)</t>
  </si>
  <si>
    <t>Ivory Coast(0.710)</t>
  </si>
  <si>
    <t>Slovenia(0.627)</t>
  </si>
  <si>
    <t>Slovenia(0.253)</t>
  </si>
  <si>
    <t>Mozambique(5.216)</t>
  </si>
  <si>
    <t>El Salvador( 9,391)</t>
  </si>
  <si>
    <t>Philippines(0.797)</t>
  </si>
  <si>
    <t>Egypt(63.000)</t>
  </si>
  <si>
    <t>Mali(0.756)</t>
  </si>
  <si>
    <t>Vietnam(0.716)</t>
  </si>
  <si>
    <t>Burkina Faso(0.632)</t>
  </si>
  <si>
    <t>Croatia(0.255)</t>
  </si>
  <si>
    <t>Namibia( 9,425)</t>
  </si>
  <si>
    <t>Ecuador(0.799)</t>
  </si>
  <si>
    <t>Bolivia(63.300)</t>
  </si>
  <si>
    <t>United States(0.757)</t>
  </si>
  <si>
    <t>Nicaragua(0.254)</t>
  </si>
  <si>
    <t>Comoros(0.716)</t>
  </si>
  <si>
    <t>Italy(0.632)</t>
  </si>
  <si>
    <t>Jamaica( 9,806)</t>
  </si>
  <si>
    <t>Uganda(0.799)</t>
  </si>
  <si>
    <t>Azerbaijan(63.600)</t>
  </si>
  <si>
    <t>Uganda(0.758)</t>
  </si>
  <si>
    <t>Argentina(0.256)</t>
  </si>
  <si>
    <t>South Korea(0.718)</t>
  </si>
  <si>
    <t>Gabon(0.634)</t>
  </si>
  <si>
    <t>Kenya(0.259)</t>
  </si>
  <si>
    <t>Albania(5.304)</t>
  </si>
  <si>
    <t>Tunisia( 10,571)</t>
  </si>
  <si>
    <t>Armenia(0.801)</t>
  </si>
  <si>
    <t>Morocco(63.700)</t>
  </si>
  <si>
    <t>Libya(0.761)</t>
  </si>
  <si>
    <t>Senegal(0.258)</t>
  </si>
  <si>
    <t>Togo(0.721)</t>
  </si>
  <si>
    <t>Botswana(0.641)</t>
  </si>
  <si>
    <t>Algeria(0.260)</t>
  </si>
  <si>
    <t>Ecuador( 10,847)</t>
  </si>
  <si>
    <t>Mauritius(63.900)</t>
  </si>
  <si>
    <t>Jordan(0.762)</t>
  </si>
  <si>
    <t>Sierra Leone(0.261)</t>
  </si>
  <si>
    <t>Niger(0.734)</t>
  </si>
  <si>
    <t>Romania(0.642)</t>
  </si>
  <si>
    <t>Romania(0.261)</t>
  </si>
  <si>
    <t>Algeria(5.364)</t>
  </si>
  <si>
    <t>Algeria( 11,101)</t>
  </si>
  <si>
    <t>Guatemala(0.806)</t>
  </si>
  <si>
    <t>Dominican Republic(64.000)</t>
  </si>
  <si>
    <t>Poland(0.767)</t>
  </si>
  <si>
    <t>Bulgaria(0.264)</t>
  </si>
  <si>
    <t>Brazil(0.739)</t>
  </si>
  <si>
    <t>Portugal(0.643)</t>
  </si>
  <si>
    <t>Moldova(0.263)</t>
  </si>
  <si>
    <t>North Macedonia(5.369)</t>
  </si>
  <si>
    <t>Vietnam( 11,324)</t>
  </si>
  <si>
    <t>Turkiye(0.809)</t>
  </si>
  <si>
    <t>Ecuador(0.771)</t>
  </si>
  <si>
    <t>Burkina Faso(0.270)</t>
  </si>
  <si>
    <t>Spain(0.643)</t>
  </si>
  <si>
    <t>Serbia(0.264)</t>
  </si>
  <si>
    <t>South Africa(5.422)</t>
  </si>
  <si>
    <t>Ukraine( 11,971)</t>
  </si>
  <si>
    <t>South Korea(0.810)</t>
  </si>
  <si>
    <t>Russia(64.200)</t>
  </si>
  <si>
    <t>Senegal(0.772)</t>
  </si>
  <si>
    <t>Pakistan(0.272)</t>
  </si>
  <si>
    <t>Philippines(0.748)</t>
  </si>
  <si>
    <t>Ivory Coast(0.643)</t>
  </si>
  <si>
    <t>Uruguay(0.265)</t>
  </si>
  <si>
    <t>Armenia(5.455)</t>
  </si>
  <si>
    <t>Mongolia( 12,067)</t>
  </si>
  <si>
    <t>Sri Lanka(0.810)</t>
  </si>
  <si>
    <t>Ukraine(64.300)</t>
  </si>
  <si>
    <t>Niger(0.777)</t>
  </si>
  <si>
    <t>Bangladesh(0.276)</t>
  </si>
  <si>
    <t>Malawi(0.749)</t>
  </si>
  <si>
    <t>Myanmar(0.647)</t>
  </si>
  <si>
    <t>Botswana(0.266)</t>
  </si>
  <si>
    <t>Bulgaria(5.463)</t>
  </si>
  <si>
    <t>Sri Lanka( 12,356)</t>
  </si>
  <si>
    <t>Bolivia(0.810)</t>
  </si>
  <si>
    <t>Bangladesh(64.300)</t>
  </si>
  <si>
    <t>Peru(0.778)</t>
  </si>
  <si>
    <t>Azerbaijan(0.278)</t>
  </si>
  <si>
    <t>Montenegro(0.754)</t>
  </si>
  <si>
    <t>Kazakhstan(0.648)</t>
  </si>
  <si>
    <t>Greece(0.269)</t>
  </si>
  <si>
    <t>Indonesia(5.568)</t>
  </si>
  <si>
    <t>Indonesia( 12,375)</t>
  </si>
  <si>
    <t>Peru(0.811)</t>
  </si>
  <si>
    <t>Spain(0.781)</t>
  </si>
  <si>
    <t>Poland(0.278)</t>
  </si>
  <si>
    <t>Zimbabwe(0.756)</t>
  </si>
  <si>
    <t>Malta(0.650)</t>
  </si>
  <si>
    <t>United Kingdom(0.269)</t>
  </si>
  <si>
    <t>Moldova(64.500)</t>
  </si>
  <si>
    <t>Bulgaria(0.782)</t>
  </si>
  <si>
    <t>Uganda(0.279)</t>
  </si>
  <si>
    <t>Slovenia(0.756)</t>
  </si>
  <si>
    <t>Namibia(0.651)</t>
  </si>
  <si>
    <t>Senegal(0.270)</t>
  </si>
  <si>
    <t>Colombia(5.695)</t>
  </si>
  <si>
    <t>Egypt( 12,679)</t>
  </si>
  <si>
    <t>Uzbekistan(64.700)</t>
  </si>
  <si>
    <t>Bosnia and Herzegovina(0.782)</t>
  </si>
  <si>
    <t>Zambia(0.285)</t>
  </si>
  <si>
    <t>Mexico(0.761)</t>
  </si>
  <si>
    <t>Mali(0.652)</t>
  </si>
  <si>
    <t>Albania(0.274)</t>
  </si>
  <si>
    <t>Mongolia(5.696)</t>
  </si>
  <si>
    <t>Peru( 12,702)</t>
  </si>
  <si>
    <t>Algeria(0.815)</t>
  </si>
  <si>
    <t>Georgia(64.700)</t>
  </si>
  <si>
    <t>Ghana(0.784)</t>
  </si>
  <si>
    <t>Costa Rica(0.299)</t>
  </si>
  <si>
    <t>Malta(0.764)</t>
  </si>
  <si>
    <t>Zambia(0.657)</t>
  </si>
  <si>
    <t>Indonesia(0.276)</t>
  </si>
  <si>
    <t>Montenegro(5.707)</t>
  </si>
  <si>
    <t>Lebanon( 12,926)</t>
  </si>
  <si>
    <t>El Salvador(64.900)</t>
  </si>
  <si>
    <t>Ukraine(0.789)</t>
  </si>
  <si>
    <t>Uruguay(0.302)</t>
  </si>
  <si>
    <t>Iran(0.765)</t>
  </si>
  <si>
    <t>Hungary(0.658)</t>
  </si>
  <si>
    <t>United States(0.277)</t>
  </si>
  <si>
    <t>Kyrgyzstan(5.714)</t>
  </si>
  <si>
    <t>Moldova( 13,250)</t>
  </si>
  <si>
    <t>Namibia(0.823)</t>
  </si>
  <si>
    <t>Kazakhstan(65.000)</t>
  </si>
  <si>
    <t>Morocco(0.789)</t>
  </si>
  <si>
    <t>Iraq(0.303)</t>
  </si>
  <si>
    <t>Madagascar(0.766)</t>
  </si>
  <si>
    <t>Cyprus(0.661)</t>
  </si>
  <si>
    <t>Bosnia and Herzegovina(0.280)</t>
  </si>
  <si>
    <t>Ecuador(5.725)</t>
  </si>
  <si>
    <t>South Africa( 13,392)</t>
  </si>
  <si>
    <t>Cyprus(0.825)</t>
  </si>
  <si>
    <t>Libya(65.200)</t>
  </si>
  <si>
    <t>Japan(0.790)</t>
  </si>
  <si>
    <t>Slovakia(0.305)</t>
  </si>
  <si>
    <t>Costa Rica(0.766)</t>
  </si>
  <si>
    <t>Japan(0.662)</t>
  </si>
  <si>
    <t>Ghana(0.280)</t>
  </si>
  <si>
    <t>Bolivia(5.784)</t>
  </si>
  <si>
    <t>Paraguay( 13,743)</t>
  </si>
  <si>
    <t>Romania(0.832)</t>
  </si>
  <si>
    <t>Vietnam(65.300)</t>
  </si>
  <si>
    <t>Montenegro(0.790)</t>
  </si>
  <si>
    <t>Montenegro(0.307)</t>
  </si>
  <si>
    <t>India(0.767)</t>
  </si>
  <si>
    <t>Eswatini(0.662)</t>
  </si>
  <si>
    <t>Dominican Republic(0.280)</t>
  </si>
  <si>
    <t>Russia(5.785)</t>
  </si>
  <si>
    <t>Gabon( 13,953)</t>
  </si>
  <si>
    <t>Brazil(65.400)</t>
  </si>
  <si>
    <t>Mauritius(0.796)</t>
  </si>
  <si>
    <t>Paraguay(0.313)</t>
  </si>
  <si>
    <t>Russia(0.769)</t>
  </si>
  <si>
    <t>Kyrgyzstan(0.663)</t>
  </si>
  <si>
    <t>Honduras(0.281)</t>
  </si>
  <si>
    <t>Moldova(5.816)</t>
  </si>
  <si>
    <t>Brazil( 15,035)</t>
  </si>
  <si>
    <t>Colombia(0.834)</t>
  </si>
  <si>
    <t>Nicaragua(65.500)</t>
  </si>
  <si>
    <t>Israel(0.797)</t>
  </si>
  <si>
    <t>Cambodia(0.318)</t>
  </si>
  <si>
    <t>Kazakhstan(0.770)</t>
  </si>
  <si>
    <t>Guatemala(0.281)</t>
  </si>
  <si>
    <t>Mauritius(5.816)</t>
  </si>
  <si>
    <t>Azerbaijan( 15,181)</t>
  </si>
  <si>
    <t>Mexico(0.835)</t>
  </si>
  <si>
    <t>Malaysia(65.700)</t>
  </si>
  <si>
    <t>Colombia(0.799)</t>
  </si>
  <si>
    <t>Brazil(0.318)</t>
  </si>
  <si>
    <t>Malaysia(0.771)</t>
  </si>
  <si>
    <t>Slovakia(0.668)</t>
  </si>
  <si>
    <t>North Macedonia(0.284)</t>
  </si>
  <si>
    <t>Dominican Republic(5.823)</t>
  </si>
  <si>
    <t>Iran( 15,281)</t>
  </si>
  <si>
    <t>Nicaragua(0.843)</t>
  </si>
  <si>
    <t>Paraguay(65.800)</t>
  </si>
  <si>
    <t>Jamaica(0.801)</t>
  </si>
  <si>
    <t>Tanzania(0.318)</t>
  </si>
  <si>
    <t>Mauritius(0.773)</t>
  </si>
  <si>
    <t>Mauritania(0.671)</t>
  </si>
  <si>
    <t>Lesotho(0.288)</t>
  </si>
  <si>
    <t>Peru(5.841)</t>
  </si>
  <si>
    <t>Colombia( 15,356)</t>
  </si>
  <si>
    <t>Vietnam(0.845)</t>
  </si>
  <si>
    <t>Mexico(65.800)</t>
  </si>
  <si>
    <t>Libya(0.321)</t>
  </si>
  <si>
    <t>Eswatini(0.776)</t>
  </si>
  <si>
    <t>Jamaica(0.289)</t>
  </si>
  <si>
    <t>Jamaica(5.842)</t>
  </si>
  <si>
    <t>Albania( 15,399)</t>
  </si>
  <si>
    <t>Kyrgyzstan(65.800)</t>
  </si>
  <si>
    <t>France(0.803)</t>
  </si>
  <si>
    <t>Chile(0.328)</t>
  </si>
  <si>
    <t>Lithuania(0.776)</t>
  </si>
  <si>
    <t>Latvia(0.672)</t>
  </si>
  <si>
    <t>Canada(0.289)</t>
  </si>
  <si>
    <t>Libya(5.866)</t>
  </si>
  <si>
    <t>Armenia( 15,652)</t>
  </si>
  <si>
    <t>Brazil(0.845)</t>
  </si>
  <si>
    <t>Armenia(0.803)</t>
  </si>
  <si>
    <t>Mauritius(0.329)</t>
  </si>
  <si>
    <t>Nepal(0.777)</t>
  </si>
  <si>
    <t>Guinea(0.672)</t>
  </si>
  <si>
    <t>Costa Rica(0.290)</t>
  </si>
  <si>
    <t>Bosnia and Herzegovina(5.877)</t>
  </si>
  <si>
    <t>Botswana( 15,702)</t>
  </si>
  <si>
    <t>Dominican Republic(0.846)</t>
  </si>
  <si>
    <t>Lebanon(66.000)</t>
  </si>
  <si>
    <t>Chile(0.804)</t>
  </si>
  <si>
    <t>Chad(0.330)</t>
  </si>
  <si>
    <t>Turkiye(0.777)</t>
  </si>
  <si>
    <t>Brazil(0.680)</t>
  </si>
  <si>
    <t>Cyprus(0.291)</t>
  </si>
  <si>
    <t>Greece(5.934)</t>
  </si>
  <si>
    <t>Bosnia and Herzegovina( 16,629)</t>
  </si>
  <si>
    <t>Greece(0.848)</t>
  </si>
  <si>
    <t>Nepal(0.805)</t>
  </si>
  <si>
    <t>Sri Lanka(0.331)</t>
  </si>
  <si>
    <t>France(0.684)</t>
  </si>
  <si>
    <t>Croatia(5.942)</t>
  </si>
  <si>
    <t>Georgia( 16,733)</t>
  </si>
  <si>
    <t>North Macedonia(0.848)</t>
  </si>
  <si>
    <t>North Macedonia(66.100)</t>
  </si>
  <si>
    <t>Serbia(0.813)</t>
  </si>
  <si>
    <t>Chad(0.780)</t>
  </si>
  <si>
    <t>Singapore(0.684)</t>
  </si>
  <si>
    <t>El Salvador(0.301)</t>
  </si>
  <si>
    <t>North Macedonia( 17,140)</t>
  </si>
  <si>
    <t>United States(66.100)</t>
  </si>
  <si>
    <t>Latvia(0.815)</t>
  </si>
  <si>
    <t>Albania(0.335)</t>
  </si>
  <si>
    <t>Zambia(0.785)</t>
  </si>
  <si>
    <t>Mauritius(0.686)</t>
  </si>
  <si>
    <t>Italy(0.303)</t>
  </si>
  <si>
    <t>Honduras(5.968)</t>
  </si>
  <si>
    <t>Thailand( 17,582)</t>
  </si>
  <si>
    <t>Moldova(0.849)</t>
  </si>
  <si>
    <t>Latvia(66.200)</t>
  </si>
  <si>
    <t>Azerbaijan(0.816)</t>
  </si>
  <si>
    <t>Honduras(0.340)</t>
  </si>
  <si>
    <t>Guinea(0.787)</t>
  </si>
  <si>
    <t>Tanzania(0.687)</t>
  </si>
  <si>
    <t>Portugal(0.303)</t>
  </si>
  <si>
    <t>Bulgaria(66.300)</t>
  </si>
  <si>
    <t>Georgia(0.825)</t>
  </si>
  <si>
    <t>Ghana(0.353)</t>
  </si>
  <si>
    <t>Ethiopia(0.796)</t>
  </si>
  <si>
    <t>Germany(0.693)</t>
  </si>
  <si>
    <t>Israel(0.304)</t>
  </si>
  <si>
    <t>Malaysia(5.975)</t>
  </si>
  <si>
    <t>Dominican Republic( 19,295)</t>
  </si>
  <si>
    <t>Ukraine(0.863)</t>
  </si>
  <si>
    <t>Iran(66.300)</t>
  </si>
  <si>
    <t>Argentina(0.825)</t>
  </si>
  <si>
    <t>India(0.354)</t>
  </si>
  <si>
    <t>Serbia(0.797)</t>
  </si>
  <si>
    <t>Azerbaijan(0.308)</t>
  </si>
  <si>
    <t>Thailand(5.976)</t>
  </si>
  <si>
    <t>Mexico( 19,520)</t>
  </si>
  <si>
    <t>Montenegro(0.865)</t>
  </si>
  <si>
    <t>Algeria(66.400)</t>
  </si>
  <si>
    <t>Brazil(0.829)</t>
  </si>
  <si>
    <t>Guinea(0.356)</t>
  </si>
  <si>
    <t>Gabon(0.798)</t>
  </si>
  <si>
    <t>Laos(0.700)</t>
  </si>
  <si>
    <t>Argentina(0.310)</t>
  </si>
  <si>
    <t>Paraguay(5.977)</t>
  </si>
  <si>
    <t>Libya( 19,797)</t>
  </si>
  <si>
    <t>Bosnia and Herzegovina(0.865)</t>
  </si>
  <si>
    <t>Jamaica(66.600)</t>
  </si>
  <si>
    <t>Albania(0.832)</t>
  </si>
  <si>
    <t>Italy(0.356)</t>
  </si>
  <si>
    <t>Greece(0.807)</t>
  </si>
  <si>
    <t>Colombia(0.312)</t>
  </si>
  <si>
    <t>Hungary(6.017)</t>
  </si>
  <si>
    <t>Serbia( 20,498)</t>
  </si>
  <si>
    <t>Lithuania(66.700)</t>
  </si>
  <si>
    <t>Moldova(0.836)</t>
  </si>
  <si>
    <t>Laos(0.357)</t>
  </si>
  <si>
    <t>Mali(0.812)</t>
  </si>
  <si>
    <t>Jamaica(0.702)</t>
  </si>
  <si>
    <t>Ethiopia(0.315)</t>
  </si>
  <si>
    <t>Portugal(6.030)</t>
  </si>
  <si>
    <t>Costa Rica( 21,882)</t>
  </si>
  <si>
    <t>Jamaica(0.867)</t>
  </si>
  <si>
    <t>Romania(66.800)</t>
  </si>
  <si>
    <t>Germany(0.839)</t>
  </si>
  <si>
    <t>France(0.360)</t>
  </si>
  <si>
    <t>Afghanistan(0.813)</t>
  </si>
  <si>
    <t>Netherlands(0.706)</t>
  </si>
  <si>
    <t>Philippines(0.316)</t>
  </si>
  <si>
    <t>Vietnam(6.043)</t>
  </si>
  <si>
    <t>Argentina( 21,951)</t>
  </si>
  <si>
    <t>United Kingdom(0.868)</t>
  </si>
  <si>
    <t>Serbia(66.900)</t>
  </si>
  <si>
    <t>Austria(0.841)</t>
  </si>
  <si>
    <t>Hungary(0.361)</t>
  </si>
  <si>
    <t>Madagascar(0.707)</t>
  </si>
  <si>
    <t>Laos(0.317)</t>
  </si>
  <si>
    <t>Philippines(6.048)</t>
  </si>
  <si>
    <t>Mauritius( 22,502)</t>
  </si>
  <si>
    <t>Italy(0.869)</t>
  </si>
  <si>
    <t>Tunisia(66.900)</t>
  </si>
  <si>
    <t>Spain(0.363)</t>
  </si>
  <si>
    <t>Lesotho(0.818)</t>
  </si>
  <si>
    <t>United Kingdom(0.709)</t>
  </si>
  <si>
    <t>Montenegro(0.317)</t>
  </si>
  <si>
    <t>South Korea(6.058)</t>
  </si>
  <si>
    <t>Montenegro( 22,509)</t>
  </si>
  <si>
    <t>Austria(0.872)</t>
  </si>
  <si>
    <t>Montenegro(67.000)</t>
  </si>
  <si>
    <t>Tanzania(0.846)</t>
  </si>
  <si>
    <t>Latvia(0.364)</t>
  </si>
  <si>
    <t>Lesotho(0.709)</t>
  </si>
  <si>
    <t>Nicaragua(0.322)</t>
  </si>
  <si>
    <t>Japan(6.060)</t>
  </si>
  <si>
    <t>Uruguay( 24,182)</t>
  </si>
  <si>
    <t>Sri Lanka(67.000)</t>
  </si>
  <si>
    <t>United Kingdom(0.849)</t>
  </si>
  <si>
    <t>Botswana(0.822)</t>
  </si>
  <si>
    <t>Argentina(0.710)</t>
  </si>
  <si>
    <t>Spain(0.323)</t>
  </si>
  <si>
    <t>Cyprus(6.068)</t>
  </si>
  <si>
    <t>Chile( 25,671)</t>
  </si>
  <si>
    <t>Argentina(67.100)</t>
  </si>
  <si>
    <t>Romania(0.851)</t>
  </si>
  <si>
    <t>Russia(0.377)</t>
  </si>
  <si>
    <t>Morocco(0.822)</t>
  </si>
  <si>
    <t>Sri Lanka(0.326)</t>
  </si>
  <si>
    <t>Kazakhstan(6.188)</t>
  </si>
  <si>
    <t>Kazakhstan( 26,119)</t>
  </si>
  <si>
    <t>Thailand(0.876)</t>
  </si>
  <si>
    <t>Armenia(67.100)</t>
  </si>
  <si>
    <t>Bolivia(0.854)</t>
  </si>
  <si>
    <t>Nigeria(0.382)</t>
  </si>
  <si>
    <t>Honduras(0.824)</t>
  </si>
  <si>
    <t>Uganda(0.711)</t>
  </si>
  <si>
    <t>Afghanistan(1.721)</t>
  </si>
  <si>
    <t>Afghanistan(0.350)</t>
  </si>
  <si>
    <t>Lesotho(44.200)</t>
  </si>
  <si>
    <t>Afghanistan(0.331)</t>
  </si>
  <si>
    <t>Singapore(0.149)</t>
  </si>
  <si>
    <t>Afghanistan(0.215)</t>
  </si>
  <si>
    <t>Lebanon(2.707)</t>
  </si>
  <si>
    <t>Mozambique( 1,247)</t>
  </si>
  <si>
    <t>Benin(0.400)</t>
  </si>
  <si>
    <t>Eswatini(50.100)</t>
  </si>
  <si>
    <t>Comoros(0.456)</t>
  </si>
  <si>
    <t>Georgia(0.057)</t>
  </si>
  <si>
    <t>Denmark(0.186)</t>
  </si>
  <si>
    <t>Lebanon(0.311)</t>
  </si>
  <si>
    <t>Kazakhstan(0.123)</t>
  </si>
  <si>
    <t>Lesotho(3.186)</t>
  </si>
  <si>
    <t>Niger( 1,295)</t>
  </si>
  <si>
    <t>Bangladesh(0.448)</t>
  </si>
  <si>
    <t>Mozambique(50.400)</t>
  </si>
  <si>
    <t>Lebanon(0.457)</t>
  </si>
  <si>
    <t>Tunisia(0.074)</t>
  </si>
  <si>
    <t>Finland(0.189)</t>
  </si>
  <si>
    <t>Turkiye(0.318)</t>
  </si>
  <si>
    <t>Sierra Leone(3.245)</t>
  </si>
  <si>
    <t>Chad( 1,413)</t>
  </si>
  <si>
    <t>Comoros(0.478)</t>
  </si>
  <si>
    <t>Chad(52.000)</t>
  </si>
  <si>
    <t>Turkiye(0.478)</t>
  </si>
  <si>
    <t>Afghanistan(0.082)</t>
  </si>
  <si>
    <t>Sweden(0.219)</t>
  </si>
  <si>
    <t>Egypt(0.437)</t>
  </si>
  <si>
    <t>Mauritius(0.155)</t>
  </si>
  <si>
    <t>Malawi( 1,469)</t>
  </si>
  <si>
    <t>Malawi(0.510)</t>
  </si>
  <si>
    <t>Sierra Leone(52.900)</t>
  </si>
  <si>
    <t>Algeria(0.511)</t>
  </si>
  <si>
    <t>Botswana(0.083)</t>
  </si>
  <si>
    <t>Switzerland(0.255)</t>
  </si>
  <si>
    <t>Bangladesh(0.446)</t>
  </si>
  <si>
    <t>Vietnam(0.169)</t>
  </si>
  <si>
    <t>Zimbabwe(3.341)</t>
  </si>
  <si>
    <t>Liberia( 1,477)</t>
  </si>
  <si>
    <t>Morocco(0.534)</t>
  </si>
  <si>
    <t>Zimbabwe(53.100)</t>
  </si>
  <si>
    <t>Madagascar(0.513)</t>
  </si>
  <si>
    <t>Lesotho(0.083)</t>
  </si>
  <si>
    <t>Norway(0.274)</t>
  </si>
  <si>
    <t>Nepal(0.450)</t>
  </si>
  <si>
    <t>Iceland(0.175)</t>
  </si>
  <si>
    <t>Botswana(3.383)</t>
  </si>
  <si>
    <t>Madagascar( 1,516)</t>
  </si>
  <si>
    <t>Sierra Leone(0.571)</t>
  </si>
  <si>
    <t>Guinea(53.300)</t>
  </si>
  <si>
    <t>Tunisia(0.516)</t>
  </si>
  <si>
    <t>Egypt(0.089)</t>
  </si>
  <si>
    <t>New Zealand(0.279)</t>
  </si>
  <si>
    <t>Lithuania(0.177)</t>
  </si>
  <si>
    <t>Malawi(3.421)</t>
  </si>
  <si>
    <t>Afghanistan( 1,517)</t>
  </si>
  <si>
    <t>Lebanon(0.575)</t>
  </si>
  <si>
    <t>Afghanistan(53.900)</t>
  </si>
  <si>
    <t>Eswatini(0.538)</t>
  </si>
  <si>
    <t>Morocco(0.094)</t>
  </si>
  <si>
    <t>Luxembourg(0.344)</t>
  </si>
  <si>
    <t>Tunisia(0.458)</t>
  </si>
  <si>
    <t>Japan(0.177)</t>
  </si>
  <si>
    <t>Eswatini(3.502)</t>
  </si>
  <si>
    <t>Sierra Leone( 1,635)</t>
  </si>
  <si>
    <t>Ivory Coast(0.576)</t>
  </si>
  <si>
    <t>Botswana(53.900)</t>
  </si>
  <si>
    <t>Greece(0.576)</t>
  </si>
  <si>
    <t>Zimbabwe(0.107)</t>
  </si>
  <si>
    <t>Ireland(0.364)</t>
  </si>
  <si>
    <t>Montenegro(0.483)</t>
  </si>
  <si>
    <t>Finland(0.180)</t>
  </si>
  <si>
    <t>Zambia(3.502)</t>
  </si>
  <si>
    <t>Mali( 2,134)</t>
  </si>
  <si>
    <t>Togo(0.579)</t>
  </si>
  <si>
    <t>Mauritania(0.580)</t>
  </si>
  <si>
    <t>Jordan(0.137)</t>
  </si>
  <si>
    <t>Pakistan(0.497)</t>
  </si>
  <si>
    <t>Estonia(0.182)</t>
  </si>
  <si>
    <t>Zimbabwe( 2,140)</t>
  </si>
  <si>
    <t>Pakistan(0.585)</t>
  </si>
  <si>
    <t>Nigeria(54.400)</t>
  </si>
  <si>
    <t>Eswatini(0.137)</t>
  </si>
  <si>
    <t>Estonia(0.386)</t>
  </si>
  <si>
    <t>Jordan(0.507)</t>
  </si>
  <si>
    <t>Switzerland(0.182)</t>
  </si>
  <si>
    <t>Comoros(3.566)</t>
  </si>
  <si>
    <t>Gambia( 2,152)</t>
  </si>
  <si>
    <t>Guinea(0.593)</t>
  </si>
  <si>
    <t>Zambia(54.400)</t>
  </si>
  <si>
    <t>Iran(0.597)</t>
  </si>
  <si>
    <t>Gabon(0.137)</t>
  </si>
  <si>
    <t>Netherlands(0.426)</t>
  </si>
  <si>
    <t>Sierra Leone(0.512)</t>
  </si>
  <si>
    <t>Tanzania(3.781)</t>
  </si>
  <si>
    <t>Burkina Faso( 2,186)</t>
  </si>
  <si>
    <t>Cameroon(54.500)</t>
  </si>
  <si>
    <t>Chad(0.630)</t>
  </si>
  <si>
    <t>Greece(0.139)</t>
  </si>
  <si>
    <t>Canada(0.432)</t>
  </si>
  <si>
    <t>Georgia(0.520)</t>
  </si>
  <si>
    <t>Sweden(0.183)</t>
  </si>
  <si>
    <t>Ethiopia(3.861)</t>
  </si>
  <si>
    <t>Togo( 2,203)</t>
  </si>
  <si>
    <t>India(0.605)</t>
  </si>
  <si>
    <t>Mali(54.600)</t>
  </si>
  <si>
    <t>Iraq(0.639)</t>
  </si>
  <si>
    <t>Germany(0.432)</t>
  </si>
  <si>
    <t>Azerbaijan(0.522)</t>
  </si>
  <si>
    <t>Singapore(0.187)</t>
  </si>
  <si>
    <t>Bangladesh(3.886)</t>
  </si>
  <si>
    <t>Lesotho( 2,282)</t>
  </si>
  <si>
    <t>Ivory Coast(54.800)</t>
  </si>
  <si>
    <t>Ethiopia(0.651)</t>
  </si>
  <si>
    <t>Mali(0.157)</t>
  </si>
  <si>
    <t>United Kingdom(0.455)</t>
  </si>
  <si>
    <t>Iran(0.523)</t>
  </si>
  <si>
    <t>Malaysia(0.189)</t>
  </si>
  <si>
    <t>Sri Lanka(3.898)</t>
  </si>
  <si>
    <t>Uganda( 2,290)</t>
  </si>
  <si>
    <t>Liberia(0.613)</t>
  </si>
  <si>
    <t>Liberia(54.900)</t>
  </si>
  <si>
    <t>Myanmar(0.658)</t>
  </si>
  <si>
    <t>Namibia(0.158)</t>
  </si>
  <si>
    <t>Ukraine(0.531)</t>
  </si>
  <si>
    <t>Poland(0.193)</t>
  </si>
  <si>
    <t>Egypt(3.977)</t>
  </si>
  <si>
    <t>Ethiopia( 2,422)</t>
  </si>
  <si>
    <t>Niger(0.615)</t>
  </si>
  <si>
    <t>Burkina Faso(54.900)</t>
  </si>
  <si>
    <t>Togo(0.660)</t>
  </si>
  <si>
    <t>Armenia(0.159)</t>
  </si>
  <si>
    <t>Australia(0.493)</t>
  </si>
  <si>
    <t>Malawi(0.535)</t>
  </si>
  <si>
    <t>Russia(0.197)</t>
  </si>
  <si>
    <t>India(4.054)</t>
  </si>
  <si>
    <t>Tanzania( 2,628)</t>
  </si>
  <si>
    <t>Gambia(0.617)</t>
  </si>
  <si>
    <t>Benin(55.500)</t>
  </si>
  <si>
    <t>Gambia(0.664)</t>
  </si>
  <si>
    <t>Malawi(0.161)</t>
  </si>
  <si>
    <t>Belgium(0.510)</t>
  </si>
  <si>
    <t>Serbia(0.536)</t>
  </si>
  <si>
    <t>Kyrgyzstan(0.198)</t>
  </si>
  <si>
    <t>Jordan(4.186)</t>
  </si>
  <si>
    <t>Guinea( 2,708)</t>
  </si>
  <si>
    <t>Burkina Faso(0.618)</t>
  </si>
  <si>
    <t>Niger(55.500)</t>
  </si>
  <si>
    <t>Sierra Leone(0.672)</t>
  </si>
  <si>
    <t>Japan(0.169)</t>
  </si>
  <si>
    <t>Austria(0.518)</t>
  </si>
  <si>
    <t>Algeria(0.537)</t>
  </si>
  <si>
    <t>Latvia(0.200)</t>
  </si>
  <si>
    <t>Togo(4.214)</t>
  </si>
  <si>
    <t>Mali(0.619)</t>
  </si>
  <si>
    <t>Namibia(56.100)</t>
  </si>
  <si>
    <t>Croatia(0.672)</t>
  </si>
  <si>
    <t>Niger(0.173)</t>
  </si>
  <si>
    <t>France(0.551)</t>
  </si>
  <si>
    <t>Netherlands(0.201)</t>
  </si>
  <si>
    <t>Madagascar(4.228)</t>
  </si>
  <si>
    <t>Comoros( 3,261)</t>
  </si>
  <si>
    <t>Mauritania(0.625)</t>
  </si>
  <si>
    <t>South Africa(56.200)</t>
  </si>
  <si>
    <t>Namibia(0.672)</t>
  </si>
  <si>
    <t>Togo(0.174)</t>
  </si>
  <si>
    <t>Egypt(0.580)</t>
  </si>
  <si>
    <t>Israel(0.542)</t>
  </si>
  <si>
    <t>Mongolia(0.203)</t>
  </si>
  <si>
    <t>Mali(4.232)</t>
  </si>
  <si>
    <t>Zambia( 3,293)</t>
  </si>
  <si>
    <t>Tanzania(0.626)</t>
  </si>
  <si>
    <t>Togo(56.200)</t>
  </si>
  <si>
    <t>Benin(0.175)</t>
  </si>
  <si>
    <t>Tanzania(0.583)</t>
  </si>
  <si>
    <t>North Macedonia(0.546)</t>
  </si>
  <si>
    <t>Bulgaria(0.204)</t>
  </si>
  <si>
    <t>Liberia(4.269)</t>
  </si>
  <si>
    <t>Benin( 3,434)</t>
  </si>
  <si>
    <t>Ghana(0.642)</t>
  </si>
  <si>
    <t>Burkina Faso(0.682)</t>
  </si>
  <si>
    <t>Lebanon(0.177)</t>
  </si>
  <si>
    <t>El Salvador(0.589)</t>
  </si>
  <si>
    <t>Lithuania(0.549)</t>
  </si>
  <si>
    <t>Zimbabwe(0.204)</t>
  </si>
  <si>
    <t>Ghana(4.289)</t>
  </si>
  <si>
    <t>Senegal( 3,572)</t>
  </si>
  <si>
    <t>Senegal(0.643)</t>
  </si>
  <si>
    <t>Pakistan(56.900)</t>
  </si>
  <si>
    <t>El Salvador(0.182)</t>
  </si>
  <si>
    <t>Benin(0.590)</t>
  </si>
  <si>
    <t>Ethiopia(0.551)</t>
  </si>
  <si>
    <t>Luxembourg(0.206)</t>
  </si>
  <si>
    <t>Cambodia(4.341)</t>
  </si>
  <si>
    <t>Cameroon( 3,738)</t>
  </si>
  <si>
    <t>Chad(0.665)</t>
  </si>
  <si>
    <t>Gambia(57.000)</t>
  </si>
  <si>
    <t>Zimbabwe(0.685)</t>
  </si>
  <si>
    <t>Nicaragua(0.591)</t>
  </si>
  <si>
    <t>Mongolia(0.553)</t>
  </si>
  <si>
    <t>Hungary(0.210)</t>
  </si>
  <si>
    <t>Myanmar(4.354)</t>
  </si>
  <si>
    <t>Nepal( 3,983)</t>
  </si>
  <si>
    <t>Zambia(0.666)</t>
  </si>
  <si>
    <t>Malawi(57.100)</t>
  </si>
  <si>
    <t>Egypt(0.687)</t>
  </si>
  <si>
    <t>Uruguay(0.633)</t>
  </si>
  <si>
    <t>Uganda(4.372)</t>
  </si>
  <si>
    <t>Madagascar(0.672)</t>
  </si>
  <si>
    <t>Madagascar(57.300)</t>
  </si>
  <si>
    <t>Mongolia(0.695)</t>
  </si>
  <si>
    <t>Romania(0.191)</t>
  </si>
  <si>
    <t>Japan(0.635)</t>
  </si>
  <si>
    <t>Armenia(0.559)</t>
  </si>
  <si>
    <t>Denmark(0.214)</t>
  </si>
  <si>
    <t>Benin(4.377)</t>
  </si>
  <si>
    <t>Myanmar( 4,125)</t>
  </si>
  <si>
    <t>Laos(0.681)</t>
  </si>
  <si>
    <t>Uzbekistan(0.641)</t>
  </si>
  <si>
    <t>Morocco(0.562)</t>
  </si>
  <si>
    <t>New Zealand(0.215)</t>
  </si>
  <si>
    <t>Tunisia(4.422)</t>
  </si>
  <si>
    <t>Cambodia( 4,538)</t>
  </si>
  <si>
    <t>Zimbabwe(0.682)</t>
  </si>
  <si>
    <t>Gabon(57.600)</t>
  </si>
  <si>
    <t>Italy(0.704)</t>
  </si>
  <si>
    <t>Mozambique(0.195)</t>
  </si>
  <si>
    <t>Libya(0.656)</t>
  </si>
  <si>
    <t>Chad(0.565)</t>
  </si>
  <si>
    <t>Norway(0.215)</t>
  </si>
  <si>
    <t>Kenya(4.470)</t>
  </si>
  <si>
    <t>Kenya( 4,885)</t>
  </si>
  <si>
    <t>Lesotho(0.682)</t>
  </si>
  <si>
    <t>Kenya(57.700)</t>
  </si>
  <si>
    <t>Gabon(0.706)</t>
  </si>
  <si>
    <t>Colombia(0.198)</t>
  </si>
  <si>
    <t>Albania(0.568)</t>
  </si>
  <si>
    <t>Tanzania(0.218)</t>
  </si>
  <si>
    <t>Chad(4.471)</t>
  </si>
  <si>
    <t>Nigeria( 4,956)</t>
  </si>
  <si>
    <t>Cameroon(0.684)</t>
  </si>
  <si>
    <t>Ghana(58.000)</t>
  </si>
  <si>
    <t>Peru(0.198)</t>
  </si>
  <si>
    <t>Algeria(0.661)</t>
  </si>
  <si>
    <t>Comoros(0.568)</t>
  </si>
  <si>
    <t>Uzbekistan(0.221)</t>
  </si>
  <si>
    <t>Gambia(4.485)</t>
  </si>
  <si>
    <t>Kyrgyzstan( 5,137)</t>
  </si>
  <si>
    <t>Azerbaijan(0.692)</t>
  </si>
  <si>
    <t>Uganda(58.200)</t>
  </si>
  <si>
    <t>Kenya(0.708)</t>
  </si>
  <si>
    <t>Moldova(0.201)</t>
  </si>
  <si>
    <t>Azerbaijan(0.662)</t>
  </si>
  <si>
    <t>Iraq(0.576)</t>
  </si>
  <si>
    <t>South Africa(0.221)</t>
  </si>
  <si>
    <t>Mauritania(4.505)</t>
  </si>
  <si>
    <t>Pakistan( 5,351)</t>
  </si>
  <si>
    <t>Mozambique(0.695)</t>
  </si>
  <si>
    <t>Tanzania(58.500)</t>
  </si>
  <si>
    <t>Cameroon(0.710)</t>
  </si>
  <si>
    <t>South Africa(0.202)</t>
  </si>
  <si>
    <t>Mauritania(0.663)</t>
  </si>
  <si>
    <t>Bosnia and Herzegovina(0.576)</t>
  </si>
  <si>
    <t>Burkina Faso(4.548)</t>
  </si>
  <si>
    <t>Ghana( 5,474)</t>
  </si>
  <si>
    <t>Kenya(0.700)</t>
  </si>
  <si>
    <t>Comoros(58.900)</t>
  </si>
  <si>
    <t>Guinea(0.710)</t>
  </si>
  <si>
    <t>Jamaica(0.203)</t>
  </si>
  <si>
    <t>Mozambique(0.666)</t>
  </si>
  <si>
    <t>Benin(0.581)</t>
  </si>
  <si>
    <t>Germany(0.228)</t>
  </si>
  <si>
    <t>Niger(4.556)</t>
  </si>
  <si>
    <t>Mauritania( 5,492)</t>
  </si>
  <si>
    <t>Ethiopia(0.707)</t>
  </si>
  <si>
    <t>Senegal(59.400)</t>
  </si>
  <si>
    <t>Ecuador(0.204)</t>
  </si>
  <si>
    <t>Dominican Republic(0.667)</t>
  </si>
  <si>
    <t>Pakistan(4.657)</t>
  </si>
  <si>
    <t>Ivory Coast( 5,531)</t>
  </si>
  <si>
    <t>Albania(0.711)</t>
  </si>
  <si>
    <t>Mauritania(59.800)</t>
  </si>
  <si>
    <t>Lesotho(0.711)</t>
  </si>
  <si>
    <t>Portugal(0.207)</t>
  </si>
  <si>
    <t>Israel(0.671)</t>
  </si>
  <si>
    <t>Morocco(4.795)</t>
  </si>
  <si>
    <t>Honduras( 5,701)</t>
  </si>
  <si>
    <t>Eswatini(0.711)</t>
  </si>
  <si>
    <t>Ethiopia(59.900)</t>
  </si>
  <si>
    <t>Cyprus(0.715)</t>
  </si>
  <si>
    <t>Comoros(0.210)</t>
  </si>
  <si>
    <t>Jordan(0.675)</t>
  </si>
  <si>
    <t>South Korea(0.586)</t>
  </si>
  <si>
    <t>Namibia(0.233)</t>
  </si>
  <si>
    <t>Namibia(4.832)</t>
  </si>
  <si>
    <t>Nicaragua( 5,809)</t>
  </si>
  <si>
    <t>Tunisia(0.723)</t>
  </si>
  <si>
    <t>Mongolia(60.300)</t>
  </si>
  <si>
    <t>Lithuania(0.718)</t>
  </si>
  <si>
    <t>Cameroon(0.210)</t>
  </si>
  <si>
    <t>Iceland(0.685)</t>
  </si>
  <si>
    <t>Moldova(0.590)</t>
  </si>
  <si>
    <t>South Korea(0.233)</t>
  </si>
  <si>
    <t>Ukraine(4.873)</t>
  </si>
  <si>
    <t>Bangladesh( 6,228)</t>
  </si>
  <si>
    <t>Botswana(0.728)</t>
  </si>
  <si>
    <t>India(60.300)</t>
  </si>
  <si>
    <t>South Africa(0.721)</t>
  </si>
  <si>
    <t>Bolivia(0.211)</t>
  </si>
  <si>
    <t>Burkina Faso(0.690)</t>
  </si>
  <si>
    <t>Bulgaria(0.590)</t>
  </si>
  <si>
    <t>Georgia(0.235)</t>
  </si>
  <si>
    <t>Cameroon(4.874)</t>
  </si>
  <si>
    <t>India( 7,076)</t>
  </si>
  <si>
    <t>Jordan(0.734)</t>
  </si>
  <si>
    <t>Laos(60.500)</t>
  </si>
  <si>
    <t>Pakistan(0.725)</t>
  </si>
  <si>
    <t>Lithuania(0.211)</t>
  </si>
  <si>
    <t>Spain(0.692)</t>
  </si>
  <si>
    <t>Togo(0.591)</t>
  </si>
  <si>
    <t>Nigeria(0.237)</t>
  </si>
  <si>
    <t>Laos( 7,986)</t>
  </si>
  <si>
    <t>Myanmar(0.736)</t>
  </si>
  <si>
    <t>Myanmar(60.900)</t>
  </si>
  <si>
    <t>Liberia(0.727)</t>
  </si>
  <si>
    <t>Philippines(0.212)</t>
  </si>
  <si>
    <t>Poland(0.695)</t>
  </si>
  <si>
    <t>Cameroon(0.597)</t>
  </si>
  <si>
    <t>Austria(0.241)</t>
  </si>
  <si>
    <t>Nigeria(4.881)</t>
  </si>
  <si>
    <t>Uzbekistan( 8,060)</t>
  </si>
  <si>
    <t>Georgia(0.737)</t>
  </si>
  <si>
    <t>Nepal(61.300)</t>
  </si>
  <si>
    <t>Ivory Coast(0.728)</t>
  </si>
  <si>
    <t>Algeria(0.217)</t>
  </si>
  <si>
    <t>Georgia(0.696)</t>
  </si>
  <si>
    <t>Ireland(0.242)</t>
  </si>
  <si>
    <t>Azerbaijan(4.893)</t>
  </si>
  <si>
    <t>Morocco( 8,101)</t>
  </si>
  <si>
    <t>Nepal(0.737)</t>
  </si>
  <si>
    <t>Cambodia(61.500)</t>
  </si>
  <si>
    <t>Russia(0.732)</t>
  </si>
  <si>
    <t>Ivory Coast(0.223)</t>
  </si>
  <si>
    <t>Libya(0.606)</t>
  </si>
  <si>
    <t>Paraguay(0.242)</t>
  </si>
  <si>
    <t>Iran(4.923)</t>
  </si>
  <si>
    <t>Egypt(0.739)</t>
  </si>
  <si>
    <t>South Korea(0.734)</t>
  </si>
  <si>
    <t>Vietnam(0.224)</t>
  </si>
  <si>
    <t>Russia(0.607)</t>
  </si>
  <si>
    <t>Australia(0.242)</t>
  </si>
  <si>
    <t>Senegal(4.969)</t>
  </si>
  <si>
    <t>Iraq(0.739)</t>
  </si>
  <si>
    <t>Nigeria(0.742)</t>
  </si>
  <si>
    <t>Guatemala(0.227)</t>
  </si>
  <si>
    <t>Greece(0.607)</t>
  </si>
  <si>
    <t>Thailand(0.243)</t>
  </si>
  <si>
    <t>Turkiye(4.975)</t>
  </si>
  <si>
    <t>Cambodia(0.748)</t>
  </si>
  <si>
    <t>Slovakia(0.742)</t>
  </si>
  <si>
    <t>Panama(0.234)</t>
  </si>
  <si>
    <t>Croatia(0.610)</t>
  </si>
  <si>
    <t>Panama(0.243)</t>
  </si>
  <si>
    <t>Guinea(5.023)</t>
  </si>
  <si>
    <t>Honduras(0.754)</t>
  </si>
  <si>
    <t>Madagascar(0.235)</t>
  </si>
  <si>
    <t>Mozambique(0.615)</t>
  </si>
  <si>
    <t>Chile(0.245)</t>
  </si>
  <si>
    <t>Congo Brazzaville(5.221)</t>
  </si>
  <si>
    <t>Congo Brazzaville( 3,231)</t>
  </si>
  <si>
    <t>Congo Brazzaville(0.593)</t>
  </si>
  <si>
    <t>Congo Brazzaville(56.200)</t>
  </si>
  <si>
    <t>Congo Brazzaville(0.711)</t>
  </si>
  <si>
    <t>Congo Brazzaville(0.193)</t>
  </si>
  <si>
    <t>Congo Brazzaville(0.746)</t>
  </si>
  <si>
    <t>Congo Brazzaville(0.581)</t>
  </si>
  <si>
    <t>Congo Brazzaville(0.434)</t>
  </si>
  <si>
    <t>Congo Kinshasa(3.295)</t>
  </si>
  <si>
    <t>Congo Kinshasa( 1,158)</t>
  </si>
  <si>
    <t>Congo Kinshasa(0.610)</t>
  </si>
  <si>
    <t>Congo Kinshasa(54.100)</t>
  </si>
  <si>
    <t>Congo Kinshasa(0.674)</t>
  </si>
  <si>
    <t>Congo Kinshasa(0.252)</t>
  </si>
  <si>
    <t>Congo Kinshasa(0.835)</t>
  </si>
  <si>
    <t>Congo Kinshasa(0.554)</t>
  </si>
  <si>
    <t>Congo Kinshasa(0.477)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</si>
  <si>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</si>
  <si>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</si>
  <si>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</si>
  <si>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</si>
  <si>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</si>
  <si>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</si>
  <si>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</si>
  <si>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</si>
  <si>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</si>
  <si>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</si>
  <si>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</si>
  <si>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</si>
  <si>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</si>
  <si>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</si>
  <si>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</si>
  <si>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</si>
  <si>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</si>
  <si>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</si>
  <si>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</si>
  <si>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</si>
  <si>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Chad</t>
  </si>
  <si>
    <t>Chile</t>
  </si>
  <si>
    <t>Colombia</t>
  </si>
  <si>
    <t>Comoros</t>
  </si>
  <si>
    <t>Congo Brazzaville</t>
  </si>
  <si>
    <t>Congo Kinshasa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</si>
  <si>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</si>
  <si>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</si>
  <si>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</si>
  <si>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</si>
  <si>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</si>
  <si>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</si>
  <si>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</si>
  <si>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</si>
  <si>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</si>
  <si>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</si>
  <si>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</si>
  <si>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</si>
  <si>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</si>
  <si>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</si>
  <si>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</si>
  <si>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</si>
  <si>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</si>
  <si>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</si>
  <si>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</si>
  <si>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</si>
  <si>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</si>
  <si>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</si>
  <si>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</si>
  <si>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</si>
  <si>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</si>
  <si>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</si>
  <si>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</si>
  <si>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</si>
  <si>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</si>
  <si>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</si>
  <si>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</si>
  <si>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</si>
  <si>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</si>
  <si>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</si>
  <si>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</si>
  <si>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</si>
  <si>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</si>
  <si>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</si>
  <si>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</si>
  <si>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</si>
  <si>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</si>
  <si>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</si>
  <si>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</si>
  <si>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</si>
  <si>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</si>
  <si>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</si>
  <si>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</si>
  <si>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</si>
  <si>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</si>
  <si>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</si>
  <si>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</si>
  <si>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</si>
  <si>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</si>
  <si>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</si>
  <si>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</si>
  <si>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</si>
  <si>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</si>
  <si>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</si>
  <si>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</si>
  <si>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</si>
  <si>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</si>
  <si>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</si>
  <si>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</si>
  <si>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</si>
  <si>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</si>
  <si>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</si>
  <si>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</si>
  <si>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</si>
  <si>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</si>
  <si>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</si>
  <si>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</si>
  <si>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</si>
  <si>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</si>
  <si>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</si>
  <si>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</si>
  <si>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</si>
  <si>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</si>
  <si>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</si>
  <si>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</si>
  <si>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</si>
  <si>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</si>
  <si>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</si>
  <si>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</si>
  <si>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</si>
  <si>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</si>
  <si>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</si>
  <si>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</si>
  <si>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</si>
  <si>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</si>
  <si>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</si>
  <si>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</si>
  <si>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Tanzania</t>
  </si>
  <si>
    <t>Thailand</t>
  </si>
  <si>
    <t>Togo</t>
  </si>
  <si>
    <t>Tunisia</t>
  </si>
  <si>
    <t>Turkiye</t>
  </si>
  <si>
    <t>Uganda</t>
  </si>
  <si>
    <t>Ukraine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</si>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</sst>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FINAL!$C$1</c:f>
              <c:strCache>
                <c:ptCount val="1"/>
                <c:pt idx="0">
                  <c:v>GDP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FINAL!$C$2:$C$132</c:f>
              <c:numCache>
                <c:formatCode>#,##0</c:formatCode>
                <c:ptCount val="131"/>
                <c:pt idx="0">
                  <c:v>1517</c:v>
                </c:pt>
                <c:pt idx="1">
                  <c:v>15399</c:v>
                </c:pt>
                <c:pt idx="2">
                  <c:v>11101</c:v>
                </c:pt>
                <c:pt idx="3">
                  <c:v>21951</c:v>
                </c:pt>
                <c:pt idx="4">
                  <c:v>15652</c:v>
                </c:pt>
                <c:pt idx="5">
                  <c:v>50703</c:v>
                </c:pt>
                <c:pt idx="6">
                  <c:v>55409</c:v>
                </c:pt>
                <c:pt idx="7">
                  <c:v>15181</c:v>
                </c:pt>
                <c:pt idx="8">
                  <c:v>6228</c:v>
                </c:pt>
                <c:pt idx="9">
                  <c:v>52743</c:v>
                </c:pt>
                <c:pt idx="10">
                  <c:v>3434</c:v>
                </c:pt>
                <c:pt idx="11">
                  <c:v>8185</c:v>
                </c:pt>
                <c:pt idx="12">
                  <c:v>16629</c:v>
                </c:pt>
                <c:pt idx="13">
                  <c:v>15702</c:v>
                </c:pt>
                <c:pt idx="14">
                  <c:v>15035</c:v>
                </c:pt>
                <c:pt idx="15">
                  <c:v>26639</c:v>
                </c:pt>
                <c:pt idx="16">
                  <c:v>2186</c:v>
                </c:pt>
                <c:pt idx="17">
                  <c:v>4538</c:v>
                </c:pt>
                <c:pt idx="18">
                  <c:v>3738</c:v>
                </c:pt>
                <c:pt idx="19">
                  <c:v>48637</c:v>
                </c:pt>
                <c:pt idx="20">
                  <c:v>1413</c:v>
                </c:pt>
                <c:pt idx="21">
                  <c:v>25671</c:v>
                </c:pt>
                <c:pt idx="22">
                  <c:v>15356</c:v>
                </c:pt>
                <c:pt idx="23">
                  <c:v>3261</c:v>
                </c:pt>
                <c:pt idx="24">
                  <c:v>3231</c:v>
                </c:pt>
                <c:pt idx="25">
                  <c:v>1158</c:v>
                </c:pt>
                <c:pt idx="26">
                  <c:v>21882</c:v>
                </c:pt>
                <c:pt idx="27">
                  <c:v>33562</c:v>
                </c:pt>
                <c:pt idx="28">
                  <c:v>42647</c:v>
                </c:pt>
                <c:pt idx="29">
                  <c:v>41371</c:v>
                </c:pt>
                <c:pt idx="30">
                  <c:v>59100</c:v>
                </c:pt>
                <c:pt idx="31">
                  <c:v>19295</c:v>
                </c:pt>
                <c:pt idx="32">
                  <c:v>10847</c:v>
                </c:pt>
                <c:pt idx="33">
                  <c:v>12679</c:v>
                </c:pt>
                <c:pt idx="34">
                  <c:v>9391</c:v>
                </c:pt>
                <c:pt idx="35">
                  <c:v>37822</c:v>
                </c:pt>
                <c:pt idx="36">
                  <c:v>9132</c:v>
                </c:pt>
                <c:pt idx="37">
                  <c:v>2422</c:v>
                </c:pt>
                <c:pt idx="38">
                  <c:v>49244</c:v>
                </c:pt>
                <c:pt idx="39">
                  <c:v>45750</c:v>
                </c:pt>
                <c:pt idx="40">
                  <c:v>13953</c:v>
                </c:pt>
                <c:pt idx="41">
                  <c:v>2152</c:v>
                </c:pt>
                <c:pt idx="42">
                  <c:v>16733</c:v>
                </c:pt>
                <c:pt idx="43">
                  <c:v>53243</c:v>
                </c:pt>
                <c:pt idx="44">
                  <c:v>5474</c:v>
                </c:pt>
                <c:pt idx="45">
                  <c:v>31139</c:v>
                </c:pt>
                <c:pt idx="46">
                  <c:v>9243</c:v>
                </c:pt>
                <c:pt idx="47">
                  <c:v>2708</c:v>
                </c:pt>
                <c:pt idx="48">
                  <c:v>5701</c:v>
                </c:pt>
                <c:pt idx="49">
                  <c:v>34732</c:v>
                </c:pt>
                <c:pt idx="50">
                  <c:v>54692</c:v>
                </c:pt>
                <c:pt idx="51">
                  <c:v>7076</c:v>
                </c:pt>
                <c:pt idx="52">
                  <c:v>12375</c:v>
                </c:pt>
                <c:pt idx="53">
                  <c:v>15281</c:v>
                </c:pt>
                <c:pt idx="54">
                  <c:v>8961</c:v>
                </c:pt>
                <c:pt idx="55">
                  <c:v>111256</c:v>
                </c:pt>
                <c:pt idx="56">
                  <c:v>43776</c:v>
                </c:pt>
                <c:pt idx="57">
                  <c:v>43429</c:v>
                </c:pt>
                <c:pt idx="58">
                  <c:v>5531</c:v>
                </c:pt>
                <c:pt idx="59">
                  <c:v>9806</c:v>
                </c:pt>
                <c:pt idx="60">
                  <c:v>41672</c:v>
                </c:pt>
                <c:pt idx="61">
                  <c:v>9316</c:v>
                </c:pt>
                <c:pt idx="62">
                  <c:v>26119</c:v>
                </c:pt>
                <c:pt idx="63">
                  <c:v>4885</c:v>
                </c:pt>
                <c:pt idx="64">
                  <c:v>5137</c:v>
                </c:pt>
                <c:pt idx="65">
                  <c:v>7986</c:v>
                </c:pt>
                <c:pt idx="66">
                  <c:v>32633</c:v>
                </c:pt>
                <c:pt idx="67">
                  <c:v>12926</c:v>
                </c:pt>
                <c:pt idx="68">
                  <c:v>2282</c:v>
                </c:pt>
                <c:pt idx="69">
                  <c:v>1477</c:v>
                </c:pt>
                <c:pt idx="70">
                  <c:v>19797</c:v>
                </c:pt>
                <c:pt idx="71">
                  <c:v>39349</c:v>
                </c:pt>
                <c:pt idx="72">
                  <c:v>115041</c:v>
                </c:pt>
                <c:pt idx="73">
                  <c:v>1516</c:v>
                </c:pt>
                <c:pt idx="74">
                  <c:v>1469</c:v>
                </c:pt>
                <c:pt idx="75">
                  <c:v>27926</c:v>
                </c:pt>
                <c:pt idx="76">
                  <c:v>2134</c:v>
                </c:pt>
                <c:pt idx="77">
                  <c:v>46889</c:v>
                </c:pt>
                <c:pt idx="78">
                  <c:v>5492</c:v>
                </c:pt>
                <c:pt idx="79">
                  <c:v>22502</c:v>
                </c:pt>
                <c:pt idx="80">
                  <c:v>19520</c:v>
                </c:pt>
                <c:pt idx="81">
                  <c:v>13250</c:v>
                </c:pt>
                <c:pt idx="82">
                  <c:v>12067</c:v>
                </c:pt>
                <c:pt idx="83">
                  <c:v>22509</c:v>
                </c:pt>
                <c:pt idx="84">
                  <c:v>8101</c:v>
                </c:pt>
                <c:pt idx="85">
                  <c:v>1247</c:v>
                </c:pt>
                <c:pt idx="86">
                  <c:v>4125</c:v>
                </c:pt>
                <c:pt idx="87">
                  <c:v>9425</c:v>
                </c:pt>
                <c:pt idx="88">
                  <c:v>3983</c:v>
                </c:pt>
                <c:pt idx="89">
                  <c:v>57904</c:v>
                </c:pt>
                <c:pt idx="90">
                  <c:v>44715</c:v>
                </c:pt>
                <c:pt idx="91">
                  <c:v>5809</c:v>
                </c:pt>
                <c:pt idx="92">
                  <c:v>1295</c:v>
                </c:pt>
                <c:pt idx="93">
                  <c:v>4956</c:v>
                </c:pt>
                <c:pt idx="94">
                  <c:v>17140</c:v>
                </c:pt>
                <c:pt idx="95">
                  <c:v>67061</c:v>
                </c:pt>
                <c:pt idx="96">
                  <c:v>5351</c:v>
                </c:pt>
                <c:pt idx="97">
                  <c:v>32766</c:v>
                </c:pt>
                <c:pt idx="98">
                  <c:v>13743</c:v>
                </c:pt>
                <c:pt idx="99">
                  <c:v>12702</c:v>
                </c:pt>
                <c:pt idx="100">
                  <c:v>8541</c:v>
                </c:pt>
                <c:pt idx="101">
                  <c:v>36321</c:v>
                </c:pt>
                <c:pt idx="102">
                  <c:v>35282</c:v>
                </c:pt>
                <c:pt idx="103">
                  <c:v>32515</c:v>
                </c:pt>
                <c:pt idx="104">
                  <c:v>27634</c:v>
                </c:pt>
                <c:pt idx="105">
                  <c:v>3572</c:v>
                </c:pt>
                <c:pt idx="106">
                  <c:v>20498</c:v>
                </c:pt>
                <c:pt idx="107">
                  <c:v>1635</c:v>
                </c:pt>
                <c:pt idx="108">
                  <c:v>107891</c:v>
                </c:pt>
                <c:pt idx="109">
                  <c:v>33127</c:v>
                </c:pt>
                <c:pt idx="110">
                  <c:v>41658</c:v>
                </c:pt>
                <c:pt idx="111">
                  <c:v>13392</c:v>
                </c:pt>
                <c:pt idx="112">
                  <c:v>45313</c:v>
                </c:pt>
                <c:pt idx="113">
                  <c:v>39406</c:v>
                </c:pt>
                <c:pt idx="114">
                  <c:v>12356</c:v>
                </c:pt>
                <c:pt idx="115">
                  <c:v>54291</c:v>
                </c:pt>
                <c:pt idx="116">
                  <c:v>70670</c:v>
                </c:pt>
                <c:pt idx="117">
                  <c:v>2628</c:v>
                </c:pt>
                <c:pt idx="118">
                  <c:v>17582</c:v>
                </c:pt>
                <c:pt idx="119">
                  <c:v>2203</c:v>
                </c:pt>
                <c:pt idx="120">
                  <c:v>10571</c:v>
                </c:pt>
                <c:pt idx="121">
                  <c:v>32753</c:v>
                </c:pt>
                <c:pt idx="122">
                  <c:v>2290</c:v>
                </c:pt>
                <c:pt idx="123">
                  <c:v>11971</c:v>
                </c:pt>
                <c:pt idx="124">
                  <c:v>46260</c:v>
                </c:pt>
                <c:pt idx="125">
                  <c:v>64595</c:v>
                </c:pt>
                <c:pt idx="126">
                  <c:v>24182</c:v>
                </c:pt>
                <c:pt idx="127">
                  <c:v>8060</c:v>
                </c:pt>
                <c:pt idx="128">
                  <c:v>11324</c:v>
                </c:pt>
                <c:pt idx="129">
                  <c:v>3293</c:v>
                </c:pt>
                <c:pt idx="130">
                  <c:v>2140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A-4AB5-BDF1-A54C1206E557}"/>
            </c:ext>
          </c:extLst>
        </c:ser>
        <c:ser>
          <c:idx val="1"/>
          <c:order val="1"/>
          <c:tx>
            <c:strRef>
              <c:f>FINAL!$D$1</c:f>
              <c:strCache>
                <c:ptCount val="1"/>
                <c:pt idx="0">
                  <c:v>Social Support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FINAL!$D$2:$D$132</c:f>
              <c:numCache>
                <c:formatCode>General</c:formatCode>
                <c:ptCount val="131"/>
                <c:pt idx="0">
                  <c:v>0.35</c:v>
                </c:pt>
                <c:pt idx="1">
                  <c:v>0.71099999999999997</c:v>
                </c:pt>
                <c:pt idx="2">
                  <c:v>0.81499999999999995</c:v>
                </c:pt>
                <c:pt idx="3">
                  <c:v>0.88900000000000001</c:v>
                </c:pt>
                <c:pt idx="4">
                  <c:v>0.80100000000000005</c:v>
                </c:pt>
                <c:pt idx="5">
                  <c:v>0.92</c:v>
                </c:pt>
                <c:pt idx="6">
                  <c:v>0.872</c:v>
                </c:pt>
                <c:pt idx="7">
                  <c:v>0.69199999999999995</c:v>
                </c:pt>
                <c:pt idx="8">
                  <c:v>0.44800000000000001</c:v>
                </c:pt>
                <c:pt idx="9">
                  <c:v>0.91200000000000003</c:v>
                </c:pt>
                <c:pt idx="10">
                  <c:v>0.4</c:v>
                </c:pt>
                <c:pt idx="11">
                  <c:v>0.81</c:v>
                </c:pt>
                <c:pt idx="12">
                  <c:v>0.86499999999999999</c:v>
                </c:pt>
                <c:pt idx="13">
                  <c:v>0.72799999999999998</c:v>
                </c:pt>
                <c:pt idx="14">
                  <c:v>0.84499999999999997</c:v>
                </c:pt>
                <c:pt idx="15">
                  <c:v>0.92300000000000004</c:v>
                </c:pt>
                <c:pt idx="16">
                  <c:v>0.61799999999999999</c:v>
                </c:pt>
                <c:pt idx="17">
                  <c:v>0.748</c:v>
                </c:pt>
                <c:pt idx="18">
                  <c:v>0.68400000000000005</c:v>
                </c:pt>
                <c:pt idx="19">
                  <c:v>0.91900000000000004</c:v>
                </c:pt>
                <c:pt idx="20">
                  <c:v>0.66500000000000004</c:v>
                </c:pt>
                <c:pt idx="21">
                  <c:v>0.88400000000000001</c:v>
                </c:pt>
                <c:pt idx="22">
                  <c:v>0.83399999999999996</c:v>
                </c:pt>
                <c:pt idx="23">
                  <c:v>0.47799999999999998</c:v>
                </c:pt>
                <c:pt idx="24">
                  <c:v>0.59299999999999997</c:v>
                </c:pt>
                <c:pt idx="25">
                  <c:v>0.61</c:v>
                </c:pt>
                <c:pt idx="26">
                  <c:v>0.88600000000000001</c:v>
                </c:pt>
                <c:pt idx="27">
                  <c:v>0.91400000000000003</c:v>
                </c:pt>
                <c:pt idx="28">
                  <c:v>0.82499999999999996</c:v>
                </c:pt>
                <c:pt idx="29">
                  <c:v>0.94</c:v>
                </c:pt>
                <c:pt idx="30">
                  <c:v>0.94399999999999995</c:v>
                </c:pt>
                <c:pt idx="31">
                  <c:v>0.84599999999999997</c:v>
                </c:pt>
                <c:pt idx="32">
                  <c:v>0.79900000000000004</c:v>
                </c:pt>
                <c:pt idx="33">
                  <c:v>0.73899999999999999</c:v>
                </c:pt>
                <c:pt idx="34">
                  <c:v>0.77200000000000002</c:v>
                </c:pt>
                <c:pt idx="35">
                  <c:v>0.94599999999999995</c:v>
                </c:pt>
                <c:pt idx="36">
                  <c:v>0.71099999999999997</c:v>
                </c:pt>
                <c:pt idx="37">
                  <c:v>0.70699999999999996</c:v>
                </c:pt>
                <c:pt idx="38">
                  <c:v>0.96399999999999997</c:v>
                </c:pt>
                <c:pt idx="39">
                  <c:v>0.876</c:v>
                </c:pt>
                <c:pt idx="40">
                  <c:v>0.755</c:v>
                </c:pt>
                <c:pt idx="41">
                  <c:v>0.61699999999999999</c:v>
                </c:pt>
                <c:pt idx="42">
                  <c:v>0.73699999999999999</c:v>
                </c:pt>
                <c:pt idx="43">
                  <c:v>0.89300000000000002</c:v>
                </c:pt>
                <c:pt idx="44">
                  <c:v>0.64200000000000002</c:v>
                </c:pt>
                <c:pt idx="45">
                  <c:v>0.84799999999999998</c:v>
                </c:pt>
                <c:pt idx="46">
                  <c:v>0.80600000000000005</c:v>
                </c:pt>
                <c:pt idx="47">
                  <c:v>0.59299999999999997</c:v>
                </c:pt>
                <c:pt idx="48">
                  <c:v>0.754</c:v>
                </c:pt>
                <c:pt idx="49">
                  <c:v>0.94699999999999995</c:v>
                </c:pt>
                <c:pt idx="50">
                  <c:v>0.98099999999999998</c:v>
                </c:pt>
                <c:pt idx="51">
                  <c:v>0.60499999999999998</c:v>
                </c:pt>
                <c:pt idx="52">
                  <c:v>0.81200000000000006</c:v>
                </c:pt>
                <c:pt idx="53">
                  <c:v>0.79400000000000004</c:v>
                </c:pt>
                <c:pt idx="54">
                  <c:v>0.73899999999999999</c:v>
                </c:pt>
                <c:pt idx="55">
                  <c:v>0.89300000000000002</c:v>
                </c:pt>
                <c:pt idx="56">
                  <c:v>0.94099999999999995</c:v>
                </c:pt>
                <c:pt idx="57">
                  <c:v>0.86899999999999999</c:v>
                </c:pt>
                <c:pt idx="58">
                  <c:v>0.57599999999999996</c:v>
                </c:pt>
                <c:pt idx="59">
                  <c:v>0.86699999999999999</c:v>
                </c:pt>
                <c:pt idx="60">
                  <c:v>0.879</c:v>
                </c:pt>
                <c:pt idx="61">
                  <c:v>0.73399999999999999</c:v>
                </c:pt>
                <c:pt idx="62">
                  <c:v>0.91900000000000004</c:v>
                </c:pt>
                <c:pt idx="63">
                  <c:v>0.7</c:v>
                </c:pt>
                <c:pt idx="64">
                  <c:v>0.92700000000000005</c:v>
                </c:pt>
                <c:pt idx="65">
                  <c:v>0.68100000000000005</c:v>
                </c:pt>
                <c:pt idx="66">
                  <c:v>0.93899999999999995</c:v>
                </c:pt>
                <c:pt idx="67">
                  <c:v>0.57499999999999996</c:v>
                </c:pt>
                <c:pt idx="68">
                  <c:v>0.68200000000000005</c:v>
                </c:pt>
                <c:pt idx="69">
                  <c:v>0.61299999999999999</c:v>
                </c:pt>
                <c:pt idx="70">
                  <c:v>0.77900000000000003</c:v>
                </c:pt>
                <c:pt idx="71">
                  <c:v>0.91700000000000004</c:v>
                </c:pt>
                <c:pt idx="72">
                  <c:v>0.879</c:v>
                </c:pt>
                <c:pt idx="73">
                  <c:v>0.67200000000000004</c:v>
                </c:pt>
                <c:pt idx="74">
                  <c:v>0.51</c:v>
                </c:pt>
                <c:pt idx="75">
                  <c:v>0.79600000000000004</c:v>
                </c:pt>
                <c:pt idx="76">
                  <c:v>0.61899999999999999</c:v>
                </c:pt>
                <c:pt idx="77">
                  <c:v>0.91400000000000003</c:v>
                </c:pt>
                <c:pt idx="78">
                  <c:v>0.625</c:v>
                </c:pt>
                <c:pt idx="79">
                  <c:v>0.88</c:v>
                </c:pt>
                <c:pt idx="80">
                  <c:v>0.83499999999999996</c:v>
                </c:pt>
                <c:pt idx="81">
                  <c:v>0.84899999999999998</c:v>
                </c:pt>
                <c:pt idx="82">
                  <c:v>0.94</c:v>
                </c:pt>
                <c:pt idx="83">
                  <c:v>0.86499999999999999</c:v>
                </c:pt>
                <c:pt idx="84">
                  <c:v>0.53400000000000003</c:v>
                </c:pt>
                <c:pt idx="85">
                  <c:v>0.69499999999999995</c:v>
                </c:pt>
                <c:pt idx="86">
                  <c:v>0.73599999999999999</c:v>
                </c:pt>
                <c:pt idx="87">
                  <c:v>0.82299999999999995</c:v>
                </c:pt>
                <c:pt idx="88">
                  <c:v>0.73699999999999999</c:v>
                </c:pt>
                <c:pt idx="89">
                  <c:v>0.92100000000000004</c:v>
                </c:pt>
                <c:pt idx="90">
                  <c:v>0.94599999999999995</c:v>
                </c:pt>
                <c:pt idx="91">
                  <c:v>0.84299999999999997</c:v>
                </c:pt>
                <c:pt idx="92">
                  <c:v>0.61499999999999999</c:v>
                </c:pt>
                <c:pt idx="93">
                  <c:v>0.77</c:v>
                </c:pt>
                <c:pt idx="94">
                  <c:v>0.84799999999999998</c:v>
                </c:pt>
                <c:pt idx="95">
                  <c:v>0.94199999999999995</c:v>
                </c:pt>
                <c:pt idx="96">
                  <c:v>0.58499999999999996</c:v>
                </c:pt>
                <c:pt idx="97">
                  <c:v>0.89300000000000002</c:v>
                </c:pt>
                <c:pt idx="98">
                  <c:v>0.9</c:v>
                </c:pt>
                <c:pt idx="99">
                  <c:v>0.81100000000000005</c:v>
                </c:pt>
                <c:pt idx="100">
                  <c:v>0.79700000000000004</c:v>
                </c:pt>
                <c:pt idx="101">
                  <c:v>0.90300000000000002</c:v>
                </c:pt>
                <c:pt idx="102">
                  <c:v>0.88400000000000001</c:v>
                </c:pt>
                <c:pt idx="103">
                  <c:v>0.83199999999999996</c:v>
                </c:pt>
                <c:pt idx="104">
                  <c:v>0.878</c:v>
                </c:pt>
                <c:pt idx="105">
                  <c:v>0.64300000000000002</c:v>
                </c:pt>
                <c:pt idx="106">
                  <c:v>0.89300000000000002</c:v>
                </c:pt>
                <c:pt idx="107">
                  <c:v>0.57099999999999995</c:v>
                </c:pt>
                <c:pt idx="108">
                  <c:v>0.88100000000000001</c:v>
                </c:pt>
                <c:pt idx="109">
                  <c:v>0.95099999999999996</c:v>
                </c:pt>
                <c:pt idx="110">
                  <c:v>0.93600000000000005</c:v>
                </c:pt>
                <c:pt idx="111">
                  <c:v>0.88500000000000001</c:v>
                </c:pt>
                <c:pt idx="112">
                  <c:v>0.81</c:v>
                </c:pt>
                <c:pt idx="113">
                  <c:v>0.92400000000000004</c:v>
                </c:pt>
                <c:pt idx="114">
                  <c:v>0.81</c:v>
                </c:pt>
                <c:pt idx="115">
                  <c:v>0.93600000000000005</c:v>
                </c:pt>
                <c:pt idx="116">
                  <c:v>0.90600000000000003</c:v>
                </c:pt>
                <c:pt idx="117">
                  <c:v>0.626</c:v>
                </c:pt>
                <c:pt idx="118">
                  <c:v>0.876</c:v>
                </c:pt>
                <c:pt idx="119">
                  <c:v>0.57899999999999996</c:v>
                </c:pt>
                <c:pt idx="120">
                  <c:v>0.72299999999999998</c:v>
                </c:pt>
                <c:pt idx="121">
                  <c:v>0.80900000000000005</c:v>
                </c:pt>
                <c:pt idx="122">
                  <c:v>0.79900000000000004</c:v>
                </c:pt>
                <c:pt idx="123">
                  <c:v>0.86299999999999999</c:v>
                </c:pt>
                <c:pt idx="124">
                  <c:v>0.86799999999999999</c:v>
                </c:pt>
                <c:pt idx="125">
                  <c:v>0.89300000000000002</c:v>
                </c:pt>
                <c:pt idx="126">
                  <c:v>0.90900000000000003</c:v>
                </c:pt>
                <c:pt idx="127">
                  <c:v>0.89400000000000002</c:v>
                </c:pt>
                <c:pt idx="128">
                  <c:v>0.84499999999999997</c:v>
                </c:pt>
                <c:pt idx="129">
                  <c:v>0.66600000000000004</c:v>
                </c:pt>
                <c:pt idx="130">
                  <c:v>0.68200000000000005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A-4AB5-BDF1-A54C1206E557}"/>
            </c:ext>
          </c:extLst>
        </c:ser>
        <c:ser>
          <c:idx val="2"/>
          <c:order val="2"/>
          <c:tx>
            <c:strRef>
              <c:f>FINAL!$E$1</c:f>
              <c:strCache>
                <c:ptCount val="1"/>
                <c:pt idx="0">
                  <c:v>Healthy Lifestyle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FINAL!$E$2:$E$132</c:f>
              <c:numCache>
                <c:formatCode>General</c:formatCode>
                <c:ptCount val="131"/>
                <c:pt idx="0">
                  <c:v>53.9</c:v>
                </c:pt>
                <c:pt idx="1">
                  <c:v>69.099999999999994</c:v>
                </c:pt>
                <c:pt idx="2">
                  <c:v>66.400000000000006</c:v>
                </c:pt>
                <c:pt idx="3">
                  <c:v>67.099999999999994</c:v>
                </c:pt>
                <c:pt idx="4">
                  <c:v>67.099999999999994</c:v>
                </c:pt>
                <c:pt idx="5">
                  <c:v>70.900000000000006</c:v>
                </c:pt>
                <c:pt idx="6">
                  <c:v>70.900000000000006</c:v>
                </c:pt>
                <c:pt idx="7">
                  <c:v>63.6</c:v>
                </c:pt>
                <c:pt idx="8">
                  <c:v>64.3</c:v>
                </c:pt>
                <c:pt idx="9">
                  <c:v>70.599999999999994</c:v>
                </c:pt>
                <c:pt idx="10">
                  <c:v>55.5</c:v>
                </c:pt>
                <c:pt idx="11">
                  <c:v>63.3</c:v>
                </c:pt>
                <c:pt idx="12">
                  <c:v>67.2</c:v>
                </c:pt>
                <c:pt idx="13">
                  <c:v>53.9</c:v>
                </c:pt>
                <c:pt idx="14">
                  <c:v>65.400000000000006</c:v>
                </c:pt>
                <c:pt idx="15">
                  <c:v>66.3</c:v>
                </c:pt>
                <c:pt idx="16">
                  <c:v>54.9</c:v>
                </c:pt>
                <c:pt idx="17">
                  <c:v>61.5</c:v>
                </c:pt>
                <c:pt idx="18">
                  <c:v>54.5</c:v>
                </c:pt>
                <c:pt idx="19">
                  <c:v>71.3</c:v>
                </c:pt>
                <c:pt idx="20">
                  <c:v>52</c:v>
                </c:pt>
                <c:pt idx="21">
                  <c:v>70</c:v>
                </c:pt>
                <c:pt idx="22">
                  <c:v>69</c:v>
                </c:pt>
                <c:pt idx="23">
                  <c:v>58.9</c:v>
                </c:pt>
                <c:pt idx="24">
                  <c:v>56.2</c:v>
                </c:pt>
                <c:pt idx="25">
                  <c:v>54.1</c:v>
                </c:pt>
                <c:pt idx="26">
                  <c:v>70</c:v>
                </c:pt>
                <c:pt idx="27">
                  <c:v>68.599999999999994</c:v>
                </c:pt>
                <c:pt idx="28">
                  <c:v>72.400000000000006</c:v>
                </c:pt>
                <c:pt idx="29">
                  <c:v>68.8</c:v>
                </c:pt>
                <c:pt idx="30">
                  <c:v>71</c:v>
                </c:pt>
                <c:pt idx="31">
                  <c:v>64</c:v>
                </c:pt>
                <c:pt idx="32">
                  <c:v>68.5</c:v>
                </c:pt>
                <c:pt idx="33">
                  <c:v>63</c:v>
                </c:pt>
                <c:pt idx="34">
                  <c:v>64.900000000000006</c:v>
                </c:pt>
                <c:pt idx="35">
                  <c:v>69.2</c:v>
                </c:pt>
                <c:pt idx="36">
                  <c:v>50.1</c:v>
                </c:pt>
                <c:pt idx="37">
                  <c:v>59.9</c:v>
                </c:pt>
                <c:pt idx="38">
                  <c:v>71</c:v>
                </c:pt>
                <c:pt idx="39">
                  <c:v>72.099999999999994</c:v>
                </c:pt>
                <c:pt idx="40">
                  <c:v>57.6</c:v>
                </c:pt>
                <c:pt idx="41">
                  <c:v>57</c:v>
                </c:pt>
                <c:pt idx="42">
                  <c:v>64.7</c:v>
                </c:pt>
                <c:pt idx="43">
                  <c:v>70.900000000000006</c:v>
                </c:pt>
                <c:pt idx="44">
                  <c:v>58</c:v>
                </c:pt>
                <c:pt idx="45">
                  <c:v>70.900000000000006</c:v>
                </c:pt>
                <c:pt idx="46">
                  <c:v>62.3</c:v>
                </c:pt>
                <c:pt idx="47">
                  <c:v>53.3</c:v>
                </c:pt>
                <c:pt idx="48">
                  <c:v>63</c:v>
                </c:pt>
                <c:pt idx="49">
                  <c:v>67.2</c:v>
                </c:pt>
                <c:pt idx="50">
                  <c:v>72</c:v>
                </c:pt>
                <c:pt idx="51">
                  <c:v>60.3</c:v>
                </c:pt>
                <c:pt idx="52">
                  <c:v>62.8</c:v>
                </c:pt>
                <c:pt idx="53">
                  <c:v>66.3</c:v>
                </c:pt>
                <c:pt idx="54">
                  <c:v>62.7</c:v>
                </c:pt>
                <c:pt idx="55">
                  <c:v>71.099999999999994</c:v>
                </c:pt>
                <c:pt idx="56">
                  <c:v>72.400000000000006</c:v>
                </c:pt>
                <c:pt idx="57">
                  <c:v>71.900000000000006</c:v>
                </c:pt>
                <c:pt idx="58">
                  <c:v>54.8</c:v>
                </c:pt>
                <c:pt idx="59">
                  <c:v>66.599999999999994</c:v>
                </c:pt>
                <c:pt idx="60">
                  <c:v>74.099999999999994</c:v>
                </c:pt>
                <c:pt idx="61">
                  <c:v>67.599999999999994</c:v>
                </c:pt>
                <c:pt idx="62">
                  <c:v>65</c:v>
                </c:pt>
                <c:pt idx="63">
                  <c:v>57.7</c:v>
                </c:pt>
                <c:pt idx="64">
                  <c:v>65.8</c:v>
                </c:pt>
                <c:pt idx="65">
                  <c:v>60.5</c:v>
                </c:pt>
                <c:pt idx="66">
                  <c:v>66.2</c:v>
                </c:pt>
                <c:pt idx="67">
                  <c:v>66</c:v>
                </c:pt>
                <c:pt idx="68">
                  <c:v>44.2</c:v>
                </c:pt>
                <c:pt idx="69">
                  <c:v>54.9</c:v>
                </c:pt>
                <c:pt idx="70">
                  <c:v>65.2</c:v>
                </c:pt>
                <c:pt idx="71">
                  <c:v>66.7</c:v>
                </c:pt>
                <c:pt idx="72">
                  <c:v>71.599999999999994</c:v>
                </c:pt>
                <c:pt idx="73">
                  <c:v>57.3</c:v>
                </c:pt>
                <c:pt idx="74">
                  <c:v>57.1</c:v>
                </c:pt>
                <c:pt idx="75">
                  <c:v>65.7</c:v>
                </c:pt>
                <c:pt idx="76">
                  <c:v>54.6</c:v>
                </c:pt>
                <c:pt idx="77">
                  <c:v>71.5</c:v>
                </c:pt>
                <c:pt idx="78">
                  <c:v>59.8</c:v>
                </c:pt>
                <c:pt idx="79">
                  <c:v>63.9</c:v>
                </c:pt>
                <c:pt idx="80">
                  <c:v>65.8</c:v>
                </c:pt>
                <c:pt idx="81">
                  <c:v>64.5</c:v>
                </c:pt>
                <c:pt idx="82">
                  <c:v>60.3</c:v>
                </c:pt>
                <c:pt idx="83">
                  <c:v>67</c:v>
                </c:pt>
                <c:pt idx="84">
                  <c:v>63.7</c:v>
                </c:pt>
                <c:pt idx="85">
                  <c:v>50.4</c:v>
                </c:pt>
                <c:pt idx="86">
                  <c:v>60.9</c:v>
                </c:pt>
                <c:pt idx="87">
                  <c:v>56.1</c:v>
                </c:pt>
                <c:pt idx="88">
                  <c:v>61.3</c:v>
                </c:pt>
                <c:pt idx="89">
                  <c:v>71.400000000000006</c:v>
                </c:pt>
                <c:pt idx="90">
                  <c:v>70.2</c:v>
                </c:pt>
                <c:pt idx="91">
                  <c:v>65.5</c:v>
                </c:pt>
                <c:pt idx="92">
                  <c:v>55.5</c:v>
                </c:pt>
                <c:pt idx="93">
                  <c:v>54.4</c:v>
                </c:pt>
                <c:pt idx="94">
                  <c:v>66.099999999999994</c:v>
                </c:pt>
                <c:pt idx="95">
                  <c:v>71.400000000000006</c:v>
                </c:pt>
                <c:pt idx="96">
                  <c:v>56.9</c:v>
                </c:pt>
                <c:pt idx="97">
                  <c:v>68.7</c:v>
                </c:pt>
                <c:pt idx="98">
                  <c:v>65.8</c:v>
                </c:pt>
                <c:pt idx="99">
                  <c:v>69.5</c:v>
                </c:pt>
                <c:pt idx="100">
                  <c:v>62</c:v>
                </c:pt>
                <c:pt idx="101">
                  <c:v>68.7</c:v>
                </c:pt>
                <c:pt idx="102">
                  <c:v>71</c:v>
                </c:pt>
                <c:pt idx="103">
                  <c:v>66.8</c:v>
                </c:pt>
                <c:pt idx="104">
                  <c:v>64.2</c:v>
                </c:pt>
                <c:pt idx="105">
                  <c:v>59.4</c:v>
                </c:pt>
                <c:pt idx="106">
                  <c:v>66.900000000000006</c:v>
                </c:pt>
                <c:pt idx="107">
                  <c:v>52.9</c:v>
                </c:pt>
                <c:pt idx="108">
                  <c:v>73.599999999999994</c:v>
                </c:pt>
                <c:pt idx="109">
                  <c:v>68.5</c:v>
                </c:pt>
                <c:pt idx="110">
                  <c:v>70.7</c:v>
                </c:pt>
                <c:pt idx="111">
                  <c:v>56.2</c:v>
                </c:pt>
                <c:pt idx="112">
                  <c:v>73.099999999999994</c:v>
                </c:pt>
                <c:pt idx="113">
                  <c:v>72.099999999999994</c:v>
                </c:pt>
                <c:pt idx="114">
                  <c:v>67</c:v>
                </c:pt>
                <c:pt idx="115">
                  <c:v>71.900000000000006</c:v>
                </c:pt>
                <c:pt idx="116">
                  <c:v>72.5</c:v>
                </c:pt>
                <c:pt idx="117">
                  <c:v>58.5</c:v>
                </c:pt>
                <c:pt idx="118">
                  <c:v>68.3</c:v>
                </c:pt>
                <c:pt idx="119">
                  <c:v>56.2</c:v>
                </c:pt>
                <c:pt idx="120">
                  <c:v>66.900000000000006</c:v>
                </c:pt>
                <c:pt idx="121">
                  <c:v>68.400000000000006</c:v>
                </c:pt>
                <c:pt idx="122">
                  <c:v>58.2</c:v>
                </c:pt>
                <c:pt idx="123">
                  <c:v>64.3</c:v>
                </c:pt>
                <c:pt idx="124">
                  <c:v>70.099999999999994</c:v>
                </c:pt>
                <c:pt idx="125">
                  <c:v>66.099999999999994</c:v>
                </c:pt>
                <c:pt idx="126">
                  <c:v>67.5</c:v>
                </c:pt>
                <c:pt idx="127">
                  <c:v>64.7</c:v>
                </c:pt>
                <c:pt idx="128">
                  <c:v>65.3</c:v>
                </c:pt>
                <c:pt idx="129">
                  <c:v>54.4</c:v>
                </c:pt>
                <c:pt idx="130">
                  <c:v>53.1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5A-4AB5-BDF1-A54C1206E557}"/>
            </c:ext>
          </c:extLst>
        </c:ser>
        <c:ser>
          <c:idx val="3"/>
          <c:order val="3"/>
          <c:tx>
            <c:strRef>
              <c:f>FINAL!$F$1</c:f>
              <c:strCache>
                <c:ptCount val="1"/>
                <c:pt idx="0">
                  <c:v>Freedom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FINAL!$F$2:$F$132</c:f>
              <c:numCache>
                <c:formatCode>General</c:formatCode>
                <c:ptCount val="131"/>
                <c:pt idx="0">
                  <c:v>0.33100000000000002</c:v>
                </c:pt>
                <c:pt idx="1">
                  <c:v>0.83199999999999996</c:v>
                </c:pt>
                <c:pt idx="2">
                  <c:v>0.51100000000000001</c:v>
                </c:pt>
                <c:pt idx="3">
                  <c:v>0.82499999999999996</c:v>
                </c:pt>
                <c:pt idx="4">
                  <c:v>0.80300000000000005</c:v>
                </c:pt>
                <c:pt idx="5">
                  <c:v>0.88</c:v>
                </c:pt>
                <c:pt idx="6">
                  <c:v>0.84099999999999997</c:v>
                </c:pt>
                <c:pt idx="7">
                  <c:v>0.81599999999999995</c:v>
                </c:pt>
                <c:pt idx="8">
                  <c:v>0.89400000000000002</c:v>
                </c:pt>
                <c:pt idx="9">
                  <c:v>0.86</c:v>
                </c:pt>
                <c:pt idx="10">
                  <c:v>0.74299999999999999</c:v>
                </c:pt>
                <c:pt idx="11">
                  <c:v>0.85399999999999998</c:v>
                </c:pt>
                <c:pt idx="12">
                  <c:v>0.78200000000000003</c:v>
                </c:pt>
                <c:pt idx="13">
                  <c:v>0.74299999999999999</c:v>
                </c:pt>
                <c:pt idx="14">
                  <c:v>0.82899999999999996</c:v>
                </c:pt>
                <c:pt idx="15">
                  <c:v>0.78200000000000003</c:v>
                </c:pt>
                <c:pt idx="16">
                  <c:v>0.68200000000000005</c:v>
                </c:pt>
                <c:pt idx="17">
                  <c:v>0.95799999999999996</c:v>
                </c:pt>
                <c:pt idx="18">
                  <c:v>0.71</c:v>
                </c:pt>
                <c:pt idx="19">
                  <c:v>0.86099999999999999</c:v>
                </c:pt>
                <c:pt idx="20">
                  <c:v>0.63</c:v>
                </c:pt>
                <c:pt idx="21">
                  <c:v>0.80400000000000005</c:v>
                </c:pt>
                <c:pt idx="22">
                  <c:v>0.79900000000000004</c:v>
                </c:pt>
                <c:pt idx="23">
                  <c:v>0.45600000000000002</c:v>
                </c:pt>
                <c:pt idx="24">
                  <c:v>0.71099999999999997</c:v>
                </c:pt>
                <c:pt idx="25">
                  <c:v>0.67400000000000004</c:v>
                </c:pt>
                <c:pt idx="26">
                  <c:v>0.90900000000000003</c:v>
                </c:pt>
                <c:pt idx="27">
                  <c:v>0.67200000000000004</c:v>
                </c:pt>
                <c:pt idx="28">
                  <c:v>0.71499999999999997</c:v>
                </c:pt>
                <c:pt idx="29">
                  <c:v>0.90200000000000002</c:v>
                </c:pt>
                <c:pt idx="30">
                  <c:v>0.92800000000000005</c:v>
                </c:pt>
                <c:pt idx="31">
                  <c:v>0.86099999999999999</c:v>
                </c:pt>
                <c:pt idx="32">
                  <c:v>0.77100000000000002</c:v>
                </c:pt>
                <c:pt idx="33">
                  <c:v>0.68700000000000006</c:v>
                </c:pt>
                <c:pt idx="34">
                  <c:v>0.92400000000000004</c:v>
                </c:pt>
                <c:pt idx="35">
                  <c:v>0.91600000000000004</c:v>
                </c:pt>
                <c:pt idx="36">
                  <c:v>0.53800000000000003</c:v>
                </c:pt>
                <c:pt idx="37">
                  <c:v>0.65100000000000002</c:v>
                </c:pt>
                <c:pt idx="38">
                  <c:v>0.95499999999999996</c:v>
                </c:pt>
                <c:pt idx="39">
                  <c:v>0.80300000000000005</c:v>
                </c:pt>
                <c:pt idx="40">
                  <c:v>0.70599999999999996</c:v>
                </c:pt>
                <c:pt idx="41">
                  <c:v>0.66400000000000003</c:v>
                </c:pt>
                <c:pt idx="42">
                  <c:v>0.82499999999999996</c:v>
                </c:pt>
                <c:pt idx="43">
                  <c:v>0.83899999999999997</c:v>
                </c:pt>
                <c:pt idx="44">
                  <c:v>0.78400000000000003</c:v>
                </c:pt>
                <c:pt idx="45">
                  <c:v>0.57599999999999996</c:v>
                </c:pt>
                <c:pt idx="46">
                  <c:v>0.86499999999999999</c:v>
                </c:pt>
                <c:pt idx="47">
                  <c:v>0.71</c:v>
                </c:pt>
                <c:pt idx="48">
                  <c:v>0.85399999999999998</c:v>
                </c:pt>
                <c:pt idx="49">
                  <c:v>0.753</c:v>
                </c:pt>
                <c:pt idx="50">
                  <c:v>0.92500000000000004</c:v>
                </c:pt>
                <c:pt idx="51">
                  <c:v>0.88800000000000001</c:v>
                </c:pt>
                <c:pt idx="52">
                  <c:v>0.89700000000000002</c:v>
                </c:pt>
                <c:pt idx="53">
                  <c:v>0.59699999999999998</c:v>
                </c:pt>
                <c:pt idx="54">
                  <c:v>0.63900000000000001</c:v>
                </c:pt>
                <c:pt idx="55">
                  <c:v>0.88100000000000001</c:v>
                </c:pt>
                <c:pt idx="56">
                  <c:v>0.79700000000000004</c:v>
                </c:pt>
                <c:pt idx="57">
                  <c:v>0.70399999999999996</c:v>
                </c:pt>
                <c:pt idx="58">
                  <c:v>0.72799999999999998</c:v>
                </c:pt>
                <c:pt idx="59">
                  <c:v>0.80100000000000005</c:v>
                </c:pt>
                <c:pt idx="60">
                  <c:v>0.79</c:v>
                </c:pt>
                <c:pt idx="61">
                  <c:v>0.76200000000000001</c:v>
                </c:pt>
                <c:pt idx="62">
                  <c:v>0.86299999999999999</c:v>
                </c:pt>
                <c:pt idx="63">
                  <c:v>0.70799999999999996</c:v>
                </c:pt>
                <c:pt idx="64">
                  <c:v>0.93700000000000006</c:v>
                </c:pt>
                <c:pt idx="65">
                  <c:v>0.90900000000000003</c:v>
                </c:pt>
                <c:pt idx="66">
                  <c:v>0.81499999999999995</c:v>
                </c:pt>
                <c:pt idx="67">
                  <c:v>0.45700000000000002</c:v>
                </c:pt>
                <c:pt idx="68">
                  <c:v>0.71099999999999997</c:v>
                </c:pt>
                <c:pt idx="69">
                  <c:v>0.72699999999999998</c:v>
                </c:pt>
                <c:pt idx="70">
                  <c:v>0.76100000000000001</c:v>
                </c:pt>
                <c:pt idx="71">
                  <c:v>0.71799999999999997</c:v>
                </c:pt>
                <c:pt idx="72">
                  <c:v>0.91300000000000003</c:v>
                </c:pt>
                <c:pt idx="73">
                  <c:v>0.51300000000000001</c:v>
                </c:pt>
                <c:pt idx="74">
                  <c:v>0.746</c:v>
                </c:pt>
                <c:pt idx="75">
                  <c:v>0.93300000000000005</c:v>
                </c:pt>
                <c:pt idx="76">
                  <c:v>0.75600000000000001</c:v>
                </c:pt>
                <c:pt idx="77">
                  <c:v>0.85899999999999999</c:v>
                </c:pt>
                <c:pt idx="78">
                  <c:v>0.57999999999999996</c:v>
                </c:pt>
                <c:pt idx="79">
                  <c:v>0.79600000000000004</c:v>
                </c:pt>
                <c:pt idx="80">
                  <c:v>0.85499999999999998</c:v>
                </c:pt>
                <c:pt idx="81">
                  <c:v>0.83599999999999997</c:v>
                </c:pt>
                <c:pt idx="82">
                  <c:v>0.69499999999999995</c:v>
                </c:pt>
                <c:pt idx="83">
                  <c:v>0.79</c:v>
                </c:pt>
                <c:pt idx="84">
                  <c:v>0.78900000000000003</c:v>
                </c:pt>
                <c:pt idx="85">
                  <c:v>0.86</c:v>
                </c:pt>
                <c:pt idx="86">
                  <c:v>0.65800000000000003</c:v>
                </c:pt>
                <c:pt idx="87">
                  <c:v>0.67200000000000004</c:v>
                </c:pt>
                <c:pt idx="88">
                  <c:v>0.80500000000000005</c:v>
                </c:pt>
                <c:pt idx="89">
                  <c:v>0.85799999999999998</c:v>
                </c:pt>
                <c:pt idx="90">
                  <c:v>0.872</c:v>
                </c:pt>
                <c:pt idx="91">
                  <c:v>0.90700000000000003</c:v>
                </c:pt>
                <c:pt idx="92">
                  <c:v>0.77700000000000002</c:v>
                </c:pt>
                <c:pt idx="93">
                  <c:v>0.74199999999999999</c:v>
                </c:pt>
                <c:pt idx="94">
                  <c:v>0.752</c:v>
                </c:pt>
                <c:pt idx="95">
                  <c:v>0.93799999999999994</c:v>
                </c:pt>
                <c:pt idx="96">
                  <c:v>0.72499999999999998</c:v>
                </c:pt>
                <c:pt idx="97">
                  <c:v>0.85399999999999998</c:v>
                </c:pt>
                <c:pt idx="98">
                  <c:v>0.90300000000000002</c:v>
                </c:pt>
                <c:pt idx="99">
                  <c:v>0.77800000000000002</c:v>
                </c:pt>
                <c:pt idx="100">
                  <c:v>0.93100000000000005</c:v>
                </c:pt>
                <c:pt idx="101">
                  <c:v>0.76700000000000002</c:v>
                </c:pt>
                <c:pt idx="102">
                  <c:v>0.88100000000000001</c:v>
                </c:pt>
                <c:pt idx="103">
                  <c:v>0.85099999999999998</c:v>
                </c:pt>
                <c:pt idx="104">
                  <c:v>0.73199999999999998</c:v>
                </c:pt>
                <c:pt idx="105">
                  <c:v>0.77200000000000002</c:v>
                </c:pt>
                <c:pt idx="106">
                  <c:v>0.81299999999999994</c:v>
                </c:pt>
                <c:pt idx="107">
                  <c:v>0.67200000000000004</c:v>
                </c:pt>
                <c:pt idx="108">
                  <c:v>0.871</c:v>
                </c:pt>
                <c:pt idx="109">
                  <c:v>0.74199999999999999</c:v>
                </c:pt>
                <c:pt idx="110">
                  <c:v>0.90400000000000003</c:v>
                </c:pt>
                <c:pt idx="111">
                  <c:v>0.72099999999999997</c:v>
                </c:pt>
                <c:pt idx="112">
                  <c:v>0.73399999999999999</c:v>
                </c:pt>
                <c:pt idx="113">
                  <c:v>0.78100000000000003</c:v>
                </c:pt>
                <c:pt idx="114">
                  <c:v>0.755</c:v>
                </c:pt>
                <c:pt idx="115">
                  <c:v>0.94</c:v>
                </c:pt>
                <c:pt idx="116">
                  <c:v>0.88200000000000001</c:v>
                </c:pt>
                <c:pt idx="117">
                  <c:v>0.84599999999999997</c:v>
                </c:pt>
                <c:pt idx="118">
                  <c:v>0.88</c:v>
                </c:pt>
                <c:pt idx="119">
                  <c:v>0.66</c:v>
                </c:pt>
                <c:pt idx="120">
                  <c:v>0.51600000000000001</c:v>
                </c:pt>
                <c:pt idx="121">
                  <c:v>0.47799999999999998</c:v>
                </c:pt>
                <c:pt idx="122">
                  <c:v>0.75800000000000001</c:v>
                </c:pt>
                <c:pt idx="123">
                  <c:v>0.78900000000000003</c:v>
                </c:pt>
                <c:pt idx="124">
                  <c:v>0.84899999999999998</c:v>
                </c:pt>
                <c:pt idx="125">
                  <c:v>0.75700000000000001</c:v>
                </c:pt>
                <c:pt idx="126">
                  <c:v>0.89400000000000002</c:v>
                </c:pt>
                <c:pt idx="127">
                  <c:v>0.93700000000000006</c:v>
                </c:pt>
                <c:pt idx="128">
                  <c:v>0.94299999999999995</c:v>
                </c:pt>
                <c:pt idx="129">
                  <c:v>0.85899999999999999</c:v>
                </c:pt>
                <c:pt idx="130">
                  <c:v>0.68500000000000005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5A-4AB5-BDF1-A54C1206E557}"/>
            </c:ext>
          </c:extLst>
        </c:ser>
        <c:ser>
          <c:idx val="4"/>
          <c:order val="4"/>
          <c:tx>
            <c:strRef>
              <c:f>FINAL!$G$1</c:f>
              <c:strCache>
                <c:ptCount val="1"/>
                <c:pt idx="0">
                  <c:v>Donated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FINAL!$G$2:$G$132</c:f>
              <c:numCache>
                <c:formatCode>General</c:formatCode>
                <c:ptCount val="131"/>
                <c:pt idx="0">
                  <c:v>8.2000000000000003E-2</c:v>
                </c:pt>
                <c:pt idx="1">
                  <c:v>0.33500000000000002</c:v>
                </c:pt>
                <c:pt idx="2">
                  <c:v>0.217</c:v>
                </c:pt>
                <c:pt idx="3">
                  <c:v>0.25600000000000001</c:v>
                </c:pt>
                <c:pt idx="4">
                  <c:v>0.159</c:v>
                </c:pt>
                <c:pt idx="5">
                  <c:v>0.6</c:v>
                </c:pt>
                <c:pt idx="6">
                  <c:v>0.58199999999999996</c:v>
                </c:pt>
                <c:pt idx="7">
                  <c:v>0.27800000000000002</c:v>
                </c:pt>
                <c:pt idx="8">
                  <c:v>0.27600000000000002</c:v>
                </c:pt>
                <c:pt idx="9">
                  <c:v>0.49199999999999999</c:v>
                </c:pt>
                <c:pt idx="10">
                  <c:v>0.17499999999999999</c:v>
                </c:pt>
                <c:pt idx="11">
                  <c:v>0.21099999999999999</c:v>
                </c:pt>
                <c:pt idx="12">
                  <c:v>0.56299999999999994</c:v>
                </c:pt>
                <c:pt idx="13">
                  <c:v>8.3000000000000004E-2</c:v>
                </c:pt>
                <c:pt idx="14">
                  <c:v>0.318</c:v>
                </c:pt>
                <c:pt idx="15">
                  <c:v>0.26400000000000001</c:v>
                </c:pt>
                <c:pt idx="16">
                  <c:v>0.27</c:v>
                </c:pt>
                <c:pt idx="17">
                  <c:v>0.318</c:v>
                </c:pt>
                <c:pt idx="18">
                  <c:v>0.21</c:v>
                </c:pt>
                <c:pt idx="19">
                  <c:v>0.60599999999999998</c:v>
                </c:pt>
                <c:pt idx="20">
                  <c:v>0.33</c:v>
                </c:pt>
                <c:pt idx="21">
                  <c:v>0.32800000000000001</c:v>
                </c:pt>
                <c:pt idx="22">
                  <c:v>0.19800000000000001</c:v>
                </c:pt>
                <c:pt idx="23">
                  <c:v>0.21</c:v>
                </c:pt>
                <c:pt idx="24">
                  <c:v>0.193</c:v>
                </c:pt>
                <c:pt idx="25">
                  <c:v>0.252</c:v>
                </c:pt>
                <c:pt idx="26">
                  <c:v>0.29899999999999999</c:v>
                </c:pt>
                <c:pt idx="27">
                  <c:v>0.24</c:v>
                </c:pt>
                <c:pt idx="28">
                  <c:v>0.38900000000000001</c:v>
                </c:pt>
                <c:pt idx="29">
                  <c:v>0.48599999999999999</c:v>
                </c:pt>
                <c:pt idx="30">
                  <c:v>0.56599999999999995</c:v>
                </c:pt>
                <c:pt idx="31">
                  <c:v>0.245</c:v>
                </c:pt>
                <c:pt idx="32">
                  <c:v>0.20399999999999999</c:v>
                </c:pt>
                <c:pt idx="33">
                  <c:v>8.8999999999999996E-2</c:v>
                </c:pt>
                <c:pt idx="34">
                  <c:v>0.182</c:v>
                </c:pt>
                <c:pt idx="35">
                  <c:v>0.45800000000000002</c:v>
                </c:pt>
                <c:pt idx="36">
                  <c:v>0.13700000000000001</c:v>
                </c:pt>
                <c:pt idx="37">
                  <c:v>0.47399999999999998</c:v>
                </c:pt>
                <c:pt idx="38">
                  <c:v>0.42499999999999999</c:v>
                </c:pt>
                <c:pt idx="39">
                  <c:v>0.36</c:v>
                </c:pt>
                <c:pt idx="40">
                  <c:v>0.13700000000000001</c:v>
                </c:pt>
                <c:pt idx="41">
                  <c:v>0.57699999999999996</c:v>
                </c:pt>
                <c:pt idx="42">
                  <c:v>5.7000000000000002E-2</c:v>
                </c:pt>
                <c:pt idx="43">
                  <c:v>0.498</c:v>
                </c:pt>
                <c:pt idx="44">
                  <c:v>0.35299999999999998</c:v>
                </c:pt>
                <c:pt idx="45">
                  <c:v>0.13900000000000001</c:v>
                </c:pt>
                <c:pt idx="46">
                  <c:v>0.22700000000000001</c:v>
                </c:pt>
                <c:pt idx="47">
                  <c:v>0.35599999999999998</c:v>
                </c:pt>
                <c:pt idx="48">
                  <c:v>0.34</c:v>
                </c:pt>
                <c:pt idx="49">
                  <c:v>0.36099999999999999</c:v>
                </c:pt>
                <c:pt idx="50">
                  <c:v>0.67500000000000004</c:v>
                </c:pt>
                <c:pt idx="51">
                  <c:v>0.35399999999999998</c:v>
                </c:pt>
                <c:pt idx="52">
                  <c:v>0.85699999999999998</c:v>
                </c:pt>
                <c:pt idx="53">
                  <c:v>0.53400000000000003</c:v>
                </c:pt>
                <c:pt idx="54">
                  <c:v>0.30299999999999999</c:v>
                </c:pt>
                <c:pt idx="55">
                  <c:v>0.61399999999999999</c:v>
                </c:pt>
                <c:pt idx="56">
                  <c:v>0.44</c:v>
                </c:pt>
                <c:pt idx="57">
                  <c:v>0.35599999999999998</c:v>
                </c:pt>
                <c:pt idx="58">
                  <c:v>0.223</c:v>
                </c:pt>
                <c:pt idx="59">
                  <c:v>0.20300000000000001</c:v>
                </c:pt>
                <c:pt idx="60">
                  <c:v>0.16900000000000001</c:v>
                </c:pt>
                <c:pt idx="61">
                  <c:v>0.13700000000000001</c:v>
                </c:pt>
                <c:pt idx="62">
                  <c:v>0.39800000000000002</c:v>
                </c:pt>
                <c:pt idx="63">
                  <c:v>0.54700000000000004</c:v>
                </c:pt>
                <c:pt idx="64">
                  <c:v>0.436</c:v>
                </c:pt>
                <c:pt idx="65">
                  <c:v>0.35699999999999998</c:v>
                </c:pt>
                <c:pt idx="66">
                  <c:v>0.36399999999999999</c:v>
                </c:pt>
                <c:pt idx="67">
                  <c:v>0.17699999999999999</c:v>
                </c:pt>
                <c:pt idx="68">
                  <c:v>8.3000000000000004E-2</c:v>
                </c:pt>
                <c:pt idx="69">
                  <c:v>0.248</c:v>
                </c:pt>
                <c:pt idx="70">
                  <c:v>0.32100000000000001</c:v>
                </c:pt>
                <c:pt idx="71">
                  <c:v>0.21099999999999999</c:v>
                </c:pt>
                <c:pt idx="72">
                  <c:v>0.495</c:v>
                </c:pt>
                <c:pt idx="73">
                  <c:v>0.23499999999999999</c:v>
                </c:pt>
                <c:pt idx="74">
                  <c:v>0.161</c:v>
                </c:pt>
                <c:pt idx="75">
                  <c:v>0.55800000000000005</c:v>
                </c:pt>
                <c:pt idx="76">
                  <c:v>0.157</c:v>
                </c:pt>
                <c:pt idx="77">
                  <c:v>0.67800000000000005</c:v>
                </c:pt>
                <c:pt idx="78">
                  <c:v>0.249</c:v>
                </c:pt>
                <c:pt idx="79">
                  <c:v>0.32900000000000001</c:v>
                </c:pt>
                <c:pt idx="80">
                  <c:v>0.245</c:v>
                </c:pt>
                <c:pt idx="81">
                  <c:v>0.20100000000000001</c:v>
                </c:pt>
                <c:pt idx="82">
                  <c:v>0.52100000000000002</c:v>
                </c:pt>
                <c:pt idx="83">
                  <c:v>0.307</c:v>
                </c:pt>
                <c:pt idx="84">
                  <c:v>9.4E-2</c:v>
                </c:pt>
                <c:pt idx="85">
                  <c:v>0.19500000000000001</c:v>
                </c:pt>
                <c:pt idx="86">
                  <c:v>0.77900000000000003</c:v>
                </c:pt>
                <c:pt idx="87">
                  <c:v>0.158</c:v>
                </c:pt>
                <c:pt idx="88">
                  <c:v>0.38500000000000001</c:v>
                </c:pt>
                <c:pt idx="89">
                  <c:v>0.65400000000000003</c:v>
                </c:pt>
                <c:pt idx="90">
                  <c:v>0.59199999999999997</c:v>
                </c:pt>
                <c:pt idx="91">
                  <c:v>0.254</c:v>
                </c:pt>
                <c:pt idx="92">
                  <c:v>0.17299999999999999</c:v>
                </c:pt>
                <c:pt idx="93">
                  <c:v>0.38200000000000001</c:v>
                </c:pt>
                <c:pt idx="94">
                  <c:v>0.45800000000000002</c:v>
                </c:pt>
                <c:pt idx="95">
                  <c:v>0.61699999999999999</c:v>
                </c:pt>
                <c:pt idx="96">
                  <c:v>0.27200000000000002</c:v>
                </c:pt>
                <c:pt idx="97">
                  <c:v>0.23400000000000001</c:v>
                </c:pt>
                <c:pt idx="98">
                  <c:v>0.313</c:v>
                </c:pt>
                <c:pt idx="99">
                  <c:v>0.19800000000000001</c:v>
                </c:pt>
                <c:pt idx="100">
                  <c:v>0.21199999999999999</c:v>
                </c:pt>
                <c:pt idx="101">
                  <c:v>0.27800000000000002</c:v>
                </c:pt>
                <c:pt idx="102">
                  <c:v>0.20699999999999999</c:v>
                </c:pt>
                <c:pt idx="103">
                  <c:v>0.191</c:v>
                </c:pt>
                <c:pt idx="104">
                  <c:v>0.377</c:v>
                </c:pt>
                <c:pt idx="105">
                  <c:v>0.25800000000000001</c:v>
                </c:pt>
                <c:pt idx="106">
                  <c:v>0.48199999999999998</c:v>
                </c:pt>
                <c:pt idx="107">
                  <c:v>0.26100000000000001</c:v>
                </c:pt>
                <c:pt idx="108">
                  <c:v>0.58599999999999997</c:v>
                </c:pt>
                <c:pt idx="109">
                  <c:v>0.30499999999999999</c:v>
                </c:pt>
                <c:pt idx="110">
                  <c:v>0.44600000000000001</c:v>
                </c:pt>
                <c:pt idx="111">
                  <c:v>0.20200000000000001</c:v>
                </c:pt>
                <c:pt idx="112">
                  <c:v>0.39</c:v>
                </c:pt>
                <c:pt idx="113">
                  <c:v>0.36299999999999999</c:v>
                </c:pt>
                <c:pt idx="114">
                  <c:v>0.33100000000000002</c:v>
                </c:pt>
                <c:pt idx="115">
                  <c:v>0.59599999999999997</c:v>
                </c:pt>
                <c:pt idx="116">
                  <c:v>0.51600000000000001</c:v>
                </c:pt>
                <c:pt idx="117">
                  <c:v>0.318</c:v>
                </c:pt>
                <c:pt idx="118">
                  <c:v>0.64400000000000002</c:v>
                </c:pt>
                <c:pt idx="119">
                  <c:v>0.17399999999999999</c:v>
                </c:pt>
                <c:pt idx="120">
                  <c:v>7.3999999999999996E-2</c:v>
                </c:pt>
                <c:pt idx="121">
                  <c:v>0.245</c:v>
                </c:pt>
                <c:pt idx="122">
                  <c:v>0.27900000000000003</c:v>
                </c:pt>
                <c:pt idx="123">
                  <c:v>0.62</c:v>
                </c:pt>
                <c:pt idx="124">
                  <c:v>0.67700000000000005</c:v>
                </c:pt>
                <c:pt idx="125">
                  <c:v>0.61299999999999999</c:v>
                </c:pt>
                <c:pt idx="126">
                  <c:v>0.30199999999999999</c:v>
                </c:pt>
                <c:pt idx="127">
                  <c:v>0.52100000000000002</c:v>
                </c:pt>
                <c:pt idx="128">
                  <c:v>0.224</c:v>
                </c:pt>
                <c:pt idx="129">
                  <c:v>0.28499999999999998</c:v>
                </c:pt>
                <c:pt idx="130">
                  <c:v>0.107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5A-4AB5-BDF1-A54C1206E557}"/>
            </c:ext>
          </c:extLst>
        </c:ser>
        <c:ser>
          <c:idx val="5"/>
          <c:order val="5"/>
          <c:tx>
            <c:strRef>
              <c:f>FINAL!$H$1</c:f>
              <c:strCache>
                <c:ptCount val="1"/>
                <c:pt idx="0">
                  <c:v>Corruption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FINAL!$H$2:$H$132</c:f>
              <c:numCache>
                <c:formatCode>General</c:formatCode>
                <c:ptCount val="131"/>
                <c:pt idx="0">
                  <c:v>0.81299999999999994</c:v>
                </c:pt>
                <c:pt idx="1">
                  <c:v>0.86699999999999999</c:v>
                </c:pt>
                <c:pt idx="2">
                  <c:v>0.66100000000000003</c:v>
                </c:pt>
                <c:pt idx="3">
                  <c:v>0.82399999999999995</c:v>
                </c:pt>
                <c:pt idx="4">
                  <c:v>0.69799999999999995</c:v>
                </c:pt>
                <c:pt idx="5">
                  <c:v>0.49299999999999999</c:v>
                </c:pt>
                <c:pt idx="6">
                  <c:v>0.51800000000000002</c:v>
                </c:pt>
                <c:pt idx="7">
                  <c:v>0.66200000000000003</c:v>
                </c:pt>
                <c:pt idx="8">
                  <c:v>0.70499999999999996</c:v>
                </c:pt>
                <c:pt idx="9">
                  <c:v>0.51</c:v>
                </c:pt>
                <c:pt idx="10">
                  <c:v>0.59</c:v>
                </c:pt>
                <c:pt idx="11">
                  <c:v>0.85099999999999998</c:v>
                </c:pt>
                <c:pt idx="12">
                  <c:v>0.93400000000000005</c:v>
                </c:pt>
                <c:pt idx="13">
                  <c:v>0.82199999999999995</c:v>
                </c:pt>
                <c:pt idx="14">
                  <c:v>0.73899999999999999</c:v>
                </c:pt>
                <c:pt idx="15">
                  <c:v>0.92500000000000004</c:v>
                </c:pt>
                <c:pt idx="16">
                  <c:v>0.69</c:v>
                </c:pt>
                <c:pt idx="17">
                  <c:v>0.83699999999999997</c:v>
                </c:pt>
                <c:pt idx="18">
                  <c:v>0.85099999999999998</c:v>
                </c:pt>
                <c:pt idx="19">
                  <c:v>0.432</c:v>
                </c:pt>
                <c:pt idx="20">
                  <c:v>0.78</c:v>
                </c:pt>
                <c:pt idx="21">
                  <c:v>0.83099999999999996</c:v>
                </c:pt>
                <c:pt idx="22">
                  <c:v>0.85399999999999998</c:v>
                </c:pt>
                <c:pt idx="23">
                  <c:v>0.71599999999999997</c:v>
                </c:pt>
                <c:pt idx="24">
                  <c:v>0.746</c:v>
                </c:pt>
                <c:pt idx="25">
                  <c:v>0.83499999999999996</c:v>
                </c:pt>
                <c:pt idx="26">
                  <c:v>0.76600000000000001</c:v>
                </c:pt>
                <c:pt idx="27">
                  <c:v>0.875</c:v>
                </c:pt>
                <c:pt idx="28">
                  <c:v>0.86699999999999999</c:v>
                </c:pt>
                <c:pt idx="29">
                  <c:v>0.84099999999999997</c:v>
                </c:pt>
                <c:pt idx="30">
                  <c:v>0.186</c:v>
                </c:pt>
                <c:pt idx="31">
                  <c:v>0.66700000000000004</c:v>
                </c:pt>
                <c:pt idx="32">
                  <c:v>0.82699999999999996</c:v>
                </c:pt>
                <c:pt idx="33">
                  <c:v>0.57999999999999996</c:v>
                </c:pt>
                <c:pt idx="34">
                  <c:v>0.58899999999999997</c:v>
                </c:pt>
                <c:pt idx="35">
                  <c:v>0.38600000000000001</c:v>
                </c:pt>
                <c:pt idx="36">
                  <c:v>0.77600000000000002</c:v>
                </c:pt>
                <c:pt idx="37">
                  <c:v>0.79600000000000004</c:v>
                </c:pt>
                <c:pt idx="38">
                  <c:v>0.189</c:v>
                </c:pt>
                <c:pt idx="39">
                  <c:v>0.55100000000000005</c:v>
                </c:pt>
                <c:pt idx="40">
                  <c:v>0.79800000000000004</c:v>
                </c:pt>
                <c:pt idx="41">
                  <c:v>0.86899999999999999</c:v>
                </c:pt>
                <c:pt idx="42">
                  <c:v>0.69599999999999995</c:v>
                </c:pt>
                <c:pt idx="43">
                  <c:v>0.432</c:v>
                </c:pt>
                <c:pt idx="44">
                  <c:v>0.89600000000000002</c:v>
                </c:pt>
                <c:pt idx="45">
                  <c:v>0.80700000000000005</c:v>
                </c:pt>
                <c:pt idx="46">
                  <c:v>0.82799999999999996</c:v>
                </c:pt>
                <c:pt idx="47">
                  <c:v>0.78700000000000003</c:v>
                </c:pt>
                <c:pt idx="48">
                  <c:v>0.82399999999999995</c:v>
                </c:pt>
                <c:pt idx="49">
                  <c:v>0.84199999999999997</c:v>
                </c:pt>
                <c:pt idx="50">
                  <c:v>0.68500000000000005</c:v>
                </c:pt>
                <c:pt idx="51">
                  <c:v>0.76700000000000002</c:v>
                </c:pt>
                <c:pt idx="52">
                  <c:v>0.85899999999999999</c:v>
                </c:pt>
                <c:pt idx="53">
                  <c:v>0.76500000000000001</c:v>
                </c:pt>
                <c:pt idx="54">
                  <c:v>0.86899999999999999</c:v>
                </c:pt>
                <c:pt idx="55">
                  <c:v>0.36399999999999999</c:v>
                </c:pt>
                <c:pt idx="56">
                  <c:v>0.67100000000000004</c:v>
                </c:pt>
                <c:pt idx="57">
                  <c:v>0.83299999999999996</c:v>
                </c:pt>
                <c:pt idx="58">
                  <c:v>0.71</c:v>
                </c:pt>
                <c:pt idx="59">
                  <c:v>0.89500000000000002</c:v>
                </c:pt>
                <c:pt idx="60">
                  <c:v>0.63500000000000001</c:v>
                </c:pt>
                <c:pt idx="61">
                  <c:v>0.67500000000000004</c:v>
                </c:pt>
                <c:pt idx="62">
                  <c:v>0.77</c:v>
                </c:pt>
                <c:pt idx="63">
                  <c:v>0.84</c:v>
                </c:pt>
                <c:pt idx="64">
                  <c:v>0.89300000000000002</c:v>
                </c:pt>
                <c:pt idx="65">
                  <c:v>0.70699999999999996</c:v>
                </c:pt>
                <c:pt idx="66">
                  <c:v>0.82699999999999996</c:v>
                </c:pt>
                <c:pt idx="67">
                  <c:v>0.89400000000000002</c:v>
                </c:pt>
                <c:pt idx="68">
                  <c:v>0.81799999999999995</c:v>
                </c:pt>
                <c:pt idx="69">
                  <c:v>0.83199999999999996</c:v>
                </c:pt>
                <c:pt idx="70">
                  <c:v>0.65600000000000003</c:v>
                </c:pt>
                <c:pt idx="71">
                  <c:v>0.77600000000000002</c:v>
                </c:pt>
                <c:pt idx="72">
                  <c:v>0.34399999999999997</c:v>
                </c:pt>
                <c:pt idx="73">
                  <c:v>0.76600000000000001</c:v>
                </c:pt>
                <c:pt idx="74">
                  <c:v>0.749</c:v>
                </c:pt>
                <c:pt idx="75">
                  <c:v>0.77100000000000002</c:v>
                </c:pt>
                <c:pt idx="76">
                  <c:v>0.81200000000000006</c:v>
                </c:pt>
                <c:pt idx="77">
                  <c:v>0.76400000000000001</c:v>
                </c:pt>
                <c:pt idx="78">
                  <c:v>0.66300000000000003</c:v>
                </c:pt>
                <c:pt idx="79">
                  <c:v>0.77300000000000002</c:v>
                </c:pt>
                <c:pt idx="80">
                  <c:v>0.76100000000000001</c:v>
                </c:pt>
                <c:pt idx="81">
                  <c:v>0.873</c:v>
                </c:pt>
                <c:pt idx="82">
                  <c:v>0.85799999999999998</c:v>
                </c:pt>
                <c:pt idx="83">
                  <c:v>0.754</c:v>
                </c:pt>
                <c:pt idx="84">
                  <c:v>0.82199999999999995</c:v>
                </c:pt>
                <c:pt idx="85">
                  <c:v>0.66600000000000004</c:v>
                </c:pt>
                <c:pt idx="86">
                  <c:v>0.69599999999999995</c:v>
                </c:pt>
                <c:pt idx="87">
                  <c:v>0.85</c:v>
                </c:pt>
                <c:pt idx="88">
                  <c:v>0.77700000000000002</c:v>
                </c:pt>
                <c:pt idx="89">
                  <c:v>0.42599999999999999</c:v>
                </c:pt>
                <c:pt idx="90">
                  <c:v>0.27900000000000003</c:v>
                </c:pt>
                <c:pt idx="91">
                  <c:v>0.59099999999999997</c:v>
                </c:pt>
                <c:pt idx="92">
                  <c:v>0.73399999999999999</c:v>
                </c:pt>
                <c:pt idx="93">
                  <c:v>0.90800000000000003</c:v>
                </c:pt>
                <c:pt idx="94">
                  <c:v>0.91400000000000003</c:v>
                </c:pt>
                <c:pt idx="95">
                  <c:v>0.27400000000000002</c:v>
                </c:pt>
                <c:pt idx="96">
                  <c:v>0.83299999999999996</c:v>
                </c:pt>
                <c:pt idx="97">
                  <c:v>0.876</c:v>
                </c:pt>
                <c:pt idx="98">
                  <c:v>0.84499999999999997</c:v>
                </c:pt>
                <c:pt idx="99">
                  <c:v>0.89500000000000002</c:v>
                </c:pt>
                <c:pt idx="100">
                  <c:v>0.748</c:v>
                </c:pt>
                <c:pt idx="101">
                  <c:v>0.69499999999999995</c:v>
                </c:pt>
                <c:pt idx="102">
                  <c:v>0.88600000000000001</c:v>
                </c:pt>
                <c:pt idx="103">
                  <c:v>0.92500000000000004</c:v>
                </c:pt>
                <c:pt idx="104">
                  <c:v>0.76900000000000002</c:v>
                </c:pt>
                <c:pt idx="105">
                  <c:v>0.84</c:v>
                </c:pt>
                <c:pt idx="106">
                  <c:v>0.79700000000000004</c:v>
                </c:pt>
                <c:pt idx="107">
                  <c:v>0.86099999999999999</c:v>
                </c:pt>
                <c:pt idx="108">
                  <c:v>0.14899999999999999</c:v>
                </c:pt>
                <c:pt idx="109">
                  <c:v>0.85499999999999998</c:v>
                </c:pt>
                <c:pt idx="110">
                  <c:v>0.75600000000000001</c:v>
                </c:pt>
                <c:pt idx="111">
                  <c:v>0.88700000000000001</c:v>
                </c:pt>
                <c:pt idx="112">
                  <c:v>0.71799999999999997</c:v>
                </c:pt>
                <c:pt idx="113">
                  <c:v>0.69199999999999995</c:v>
                </c:pt>
                <c:pt idx="114">
                  <c:v>0.89200000000000002</c:v>
                </c:pt>
                <c:pt idx="115">
                  <c:v>0.219</c:v>
                </c:pt>
                <c:pt idx="116">
                  <c:v>0.255</c:v>
                </c:pt>
                <c:pt idx="117">
                  <c:v>0.58299999999999996</c:v>
                </c:pt>
                <c:pt idx="118">
                  <c:v>0.90100000000000002</c:v>
                </c:pt>
                <c:pt idx="119">
                  <c:v>0.72099999999999997</c:v>
                </c:pt>
                <c:pt idx="120">
                  <c:v>0.90900000000000003</c:v>
                </c:pt>
                <c:pt idx="121">
                  <c:v>0.77700000000000002</c:v>
                </c:pt>
                <c:pt idx="122">
                  <c:v>0.86</c:v>
                </c:pt>
                <c:pt idx="123">
                  <c:v>0.89900000000000002</c:v>
                </c:pt>
                <c:pt idx="124">
                  <c:v>0.45500000000000002</c:v>
                </c:pt>
                <c:pt idx="125">
                  <c:v>0.70299999999999996</c:v>
                </c:pt>
                <c:pt idx="126">
                  <c:v>0.63300000000000001</c:v>
                </c:pt>
                <c:pt idx="127">
                  <c:v>0.64100000000000001</c:v>
                </c:pt>
                <c:pt idx="128">
                  <c:v>0.71599999999999997</c:v>
                </c:pt>
                <c:pt idx="129">
                  <c:v>0.78500000000000003</c:v>
                </c:pt>
                <c:pt idx="130">
                  <c:v>0.75600000000000001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5A-4AB5-BDF1-A54C1206E557}"/>
            </c:ext>
          </c:extLst>
        </c:ser>
        <c:ser>
          <c:idx val="6"/>
          <c:order val="6"/>
          <c:tx>
            <c:strRef>
              <c:f>FINAL!$I$1</c:f>
              <c:strCache>
                <c:ptCount val="1"/>
                <c:pt idx="0">
                  <c:v>Positive Affect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FINAL!$I$2:$I$132</c:f>
              <c:numCache>
                <c:formatCode>General</c:formatCode>
                <c:ptCount val="131"/>
                <c:pt idx="0">
                  <c:v>0.215</c:v>
                </c:pt>
                <c:pt idx="1">
                  <c:v>0.56799999999999995</c:v>
                </c:pt>
                <c:pt idx="2">
                  <c:v>0.53700000000000003</c:v>
                </c:pt>
                <c:pt idx="3">
                  <c:v>0.71</c:v>
                </c:pt>
                <c:pt idx="4">
                  <c:v>0.55900000000000005</c:v>
                </c:pt>
                <c:pt idx="5">
                  <c:v>0.72799999999999998</c:v>
                </c:pt>
                <c:pt idx="6">
                  <c:v>0.71799999999999997</c:v>
                </c:pt>
                <c:pt idx="7">
                  <c:v>0.52200000000000002</c:v>
                </c:pt>
                <c:pt idx="8">
                  <c:v>0.44600000000000001</c:v>
                </c:pt>
                <c:pt idx="9">
                  <c:v>0.71099999999999997</c:v>
                </c:pt>
                <c:pt idx="10">
                  <c:v>0.58099999999999996</c:v>
                </c:pt>
                <c:pt idx="11">
                  <c:v>0.74299999999999999</c:v>
                </c:pt>
                <c:pt idx="12">
                  <c:v>0.57599999999999996</c:v>
                </c:pt>
                <c:pt idx="13">
                  <c:v>0.64100000000000001</c:v>
                </c:pt>
                <c:pt idx="14">
                  <c:v>0.68</c:v>
                </c:pt>
                <c:pt idx="15">
                  <c:v>0.59</c:v>
                </c:pt>
                <c:pt idx="16">
                  <c:v>0.63200000000000001</c:v>
                </c:pt>
                <c:pt idx="17">
                  <c:v>0.73599999999999999</c:v>
                </c:pt>
                <c:pt idx="18">
                  <c:v>0.59699999999999998</c:v>
                </c:pt>
                <c:pt idx="19">
                  <c:v>0.73599999999999999</c:v>
                </c:pt>
                <c:pt idx="20">
                  <c:v>0.56499999999999995</c:v>
                </c:pt>
                <c:pt idx="21">
                  <c:v>0.76300000000000001</c:v>
                </c:pt>
                <c:pt idx="22">
                  <c:v>0.75800000000000001</c:v>
                </c:pt>
                <c:pt idx="23">
                  <c:v>0.56799999999999995</c:v>
                </c:pt>
                <c:pt idx="24">
                  <c:v>0.58099999999999996</c:v>
                </c:pt>
                <c:pt idx="25">
                  <c:v>0.55400000000000005</c:v>
                </c:pt>
                <c:pt idx="26">
                  <c:v>0.79200000000000004</c:v>
                </c:pt>
                <c:pt idx="27">
                  <c:v>0.61</c:v>
                </c:pt>
                <c:pt idx="28">
                  <c:v>0.66100000000000003</c:v>
                </c:pt>
                <c:pt idx="29">
                  <c:v>0.73599999999999999</c:v>
                </c:pt>
                <c:pt idx="30">
                  <c:v>0.77800000000000002</c:v>
                </c:pt>
                <c:pt idx="31">
                  <c:v>0.73199999999999998</c:v>
                </c:pt>
                <c:pt idx="32">
                  <c:v>0.76100000000000001</c:v>
                </c:pt>
                <c:pt idx="33">
                  <c:v>0.437</c:v>
                </c:pt>
                <c:pt idx="34">
                  <c:v>0.82399999999999995</c:v>
                </c:pt>
                <c:pt idx="35">
                  <c:v>0.76500000000000001</c:v>
                </c:pt>
                <c:pt idx="36">
                  <c:v>0.66200000000000003</c:v>
                </c:pt>
                <c:pt idx="37">
                  <c:v>0.55100000000000005</c:v>
                </c:pt>
                <c:pt idx="38">
                  <c:v>0.73599999999999999</c:v>
                </c:pt>
                <c:pt idx="39">
                  <c:v>0.68400000000000005</c:v>
                </c:pt>
                <c:pt idx="40">
                  <c:v>0.63400000000000001</c:v>
                </c:pt>
                <c:pt idx="41">
                  <c:v>0.72299999999999998</c:v>
                </c:pt>
                <c:pt idx="42">
                  <c:v>0.52</c:v>
                </c:pt>
                <c:pt idx="43">
                  <c:v>0.69299999999999995</c:v>
                </c:pt>
                <c:pt idx="44">
                  <c:v>0.61599999999999999</c:v>
                </c:pt>
                <c:pt idx="45">
                  <c:v>0.60699999999999998</c:v>
                </c:pt>
                <c:pt idx="46">
                  <c:v>0.84299999999999997</c:v>
                </c:pt>
                <c:pt idx="47">
                  <c:v>0.67200000000000004</c:v>
                </c:pt>
                <c:pt idx="48">
                  <c:v>0.78400000000000003</c:v>
                </c:pt>
                <c:pt idx="49">
                  <c:v>0.65800000000000003</c:v>
                </c:pt>
                <c:pt idx="50">
                  <c:v>0.79</c:v>
                </c:pt>
                <c:pt idx="51">
                  <c:v>0.61699999999999999</c:v>
                </c:pt>
                <c:pt idx="52">
                  <c:v>0.81200000000000006</c:v>
                </c:pt>
                <c:pt idx="53">
                  <c:v>0.52300000000000002</c:v>
                </c:pt>
                <c:pt idx="54">
                  <c:v>0.57599999999999996</c:v>
                </c:pt>
                <c:pt idx="55">
                  <c:v>0.73699999999999999</c:v>
                </c:pt>
                <c:pt idx="56">
                  <c:v>0.54200000000000004</c:v>
                </c:pt>
                <c:pt idx="57">
                  <c:v>0.63200000000000001</c:v>
                </c:pt>
                <c:pt idx="58">
                  <c:v>0.64300000000000002</c:v>
                </c:pt>
                <c:pt idx="59">
                  <c:v>0.70199999999999996</c:v>
                </c:pt>
                <c:pt idx="60">
                  <c:v>0.66200000000000003</c:v>
                </c:pt>
                <c:pt idx="61">
                  <c:v>0.50700000000000001</c:v>
                </c:pt>
                <c:pt idx="62">
                  <c:v>0.64800000000000002</c:v>
                </c:pt>
                <c:pt idx="63">
                  <c:v>0.74199999999999999</c:v>
                </c:pt>
                <c:pt idx="64">
                  <c:v>0.66300000000000003</c:v>
                </c:pt>
                <c:pt idx="65">
                  <c:v>0.7</c:v>
                </c:pt>
                <c:pt idx="66">
                  <c:v>0.67200000000000004</c:v>
                </c:pt>
                <c:pt idx="67">
                  <c:v>0.311</c:v>
                </c:pt>
                <c:pt idx="68">
                  <c:v>0.70899999999999996</c:v>
                </c:pt>
                <c:pt idx="69">
                  <c:v>0.623</c:v>
                </c:pt>
                <c:pt idx="70">
                  <c:v>0.60599999999999998</c:v>
                </c:pt>
                <c:pt idx="71">
                  <c:v>0.54900000000000004</c:v>
                </c:pt>
                <c:pt idx="72">
                  <c:v>0.73499999999999999</c:v>
                </c:pt>
                <c:pt idx="73">
                  <c:v>0.70699999999999996</c:v>
                </c:pt>
                <c:pt idx="74">
                  <c:v>0.53500000000000003</c:v>
                </c:pt>
                <c:pt idx="75">
                  <c:v>0.752</c:v>
                </c:pt>
                <c:pt idx="76">
                  <c:v>0.65200000000000002</c:v>
                </c:pt>
                <c:pt idx="77">
                  <c:v>0.65</c:v>
                </c:pt>
                <c:pt idx="78">
                  <c:v>0.67100000000000004</c:v>
                </c:pt>
                <c:pt idx="79">
                  <c:v>0.68600000000000005</c:v>
                </c:pt>
                <c:pt idx="80">
                  <c:v>0.79300000000000004</c:v>
                </c:pt>
                <c:pt idx="81">
                  <c:v>0.59</c:v>
                </c:pt>
                <c:pt idx="82">
                  <c:v>0.55300000000000005</c:v>
                </c:pt>
                <c:pt idx="83">
                  <c:v>0.48299999999999998</c:v>
                </c:pt>
                <c:pt idx="84">
                  <c:v>0.56200000000000006</c:v>
                </c:pt>
                <c:pt idx="85">
                  <c:v>0.61499999999999999</c:v>
                </c:pt>
                <c:pt idx="86">
                  <c:v>0.64700000000000002</c:v>
                </c:pt>
                <c:pt idx="87">
                  <c:v>0.65100000000000002</c:v>
                </c:pt>
                <c:pt idx="88">
                  <c:v>0.45</c:v>
                </c:pt>
                <c:pt idx="89">
                  <c:v>0.70599999999999996</c:v>
                </c:pt>
                <c:pt idx="90">
                  <c:v>0.73</c:v>
                </c:pt>
                <c:pt idx="91">
                  <c:v>0.78800000000000003</c:v>
                </c:pt>
                <c:pt idx="92">
                  <c:v>0.76400000000000001</c:v>
                </c:pt>
                <c:pt idx="93">
                  <c:v>0.71599999999999997</c:v>
                </c:pt>
                <c:pt idx="94">
                  <c:v>0.54600000000000004</c:v>
                </c:pt>
                <c:pt idx="95">
                  <c:v>0.76200000000000001</c:v>
                </c:pt>
                <c:pt idx="96">
                  <c:v>0.497</c:v>
                </c:pt>
                <c:pt idx="97">
                  <c:v>0.82899999999999996</c:v>
                </c:pt>
                <c:pt idx="98">
                  <c:v>0.82</c:v>
                </c:pt>
                <c:pt idx="99">
                  <c:v>0.76900000000000002</c:v>
                </c:pt>
                <c:pt idx="100">
                  <c:v>0.80800000000000005</c:v>
                </c:pt>
                <c:pt idx="101">
                  <c:v>0.61899999999999999</c:v>
                </c:pt>
                <c:pt idx="102">
                  <c:v>0.64300000000000002</c:v>
                </c:pt>
                <c:pt idx="103">
                  <c:v>0.64200000000000002</c:v>
                </c:pt>
                <c:pt idx="104">
                  <c:v>0.60699999999999998</c:v>
                </c:pt>
                <c:pt idx="105">
                  <c:v>0.81399999999999995</c:v>
                </c:pt>
                <c:pt idx="106">
                  <c:v>0.53600000000000003</c:v>
                </c:pt>
                <c:pt idx="107">
                  <c:v>0.51200000000000001</c:v>
                </c:pt>
                <c:pt idx="108">
                  <c:v>0.68400000000000005</c:v>
                </c:pt>
                <c:pt idx="109">
                  <c:v>0.66800000000000004</c:v>
                </c:pt>
                <c:pt idx="110">
                  <c:v>0.627</c:v>
                </c:pt>
                <c:pt idx="111">
                  <c:v>0.747</c:v>
                </c:pt>
                <c:pt idx="112">
                  <c:v>0.58599999999999997</c:v>
                </c:pt>
                <c:pt idx="113">
                  <c:v>0.64300000000000002</c:v>
                </c:pt>
                <c:pt idx="114">
                  <c:v>0.72</c:v>
                </c:pt>
                <c:pt idx="115">
                  <c:v>0.751</c:v>
                </c:pt>
                <c:pt idx="116">
                  <c:v>0.73399999999999999</c:v>
                </c:pt>
                <c:pt idx="117">
                  <c:v>0.68700000000000006</c:v>
                </c:pt>
                <c:pt idx="118">
                  <c:v>0.77</c:v>
                </c:pt>
                <c:pt idx="119">
                  <c:v>0.59099999999999997</c:v>
                </c:pt>
                <c:pt idx="120">
                  <c:v>0.45800000000000002</c:v>
                </c:pt>
                <c:pt idx="121">
                  <c:v>0.318</c:v>
                </c:pt>
                <c:pt idx="122">
                  <c:v>0.71099999999999997</c:v>
                </c:pt>
                <c:pt idx="123">
                  <c:v>0.53100000000000003</c:v>
                </c:pt>
                <c:pt idx="124">
                  <c:v>0.70899999999999996</c:v>
                </c:pt>
                <c:pt idx="125">
                  <c:v>0.71899999999999997</c:v>
                </c:pt>
                <c:pt idx="126">
                  <c:v>0.75900000000000001</c:v>
                </c:pt>
                <c:pt idx="127">
                  <c:v>0.73199999999999998</c:v>
                </c:pt>
                <c:pt idx="128">
                  <c:v>0.71299999999999997</c:v>
                </c:pt>
                <c:pt idx="129">
                  <c:v>0.65700000000000003</c:v>
                </c:pt>
                <c:pt idx="130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5A-4AB5-BDF1-A54C1206E557}"/>
            </c:ext>
          </c:extLst>
        </c:ser>
        <c:ser>
          <c:idx val="7"/>
          <c:order val="7"/>
          <c:tx>
            <c:strRef>
              <c:f>FINAL!$J$1</c:f>
              <c:strCache>
                <c:ptCount val="1"/>
                <c:pt idx="0">
                  <c:v>Negative Affect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FINAL!$B$2:$B$132</c:f>
              <c:numCache>
                <c:formatCode>General</c:formatCode>
                <c:ptCount val="131"/>
                <c:pt idx="0">
                  <c:v>1.7210000000000001</c:v>
                </c:pt>
                <c:pt idx="1">
                  <c:v>5.3040000000000003</c:v>
                </c:pt>
                <c:pt idx="2">
                  <c:v>5.3639999999999999</c:v>
                </c:pt>
                <c:pt idx="3">
                  <c:v>6.1879999999999997</c:v>
                </c:pt>
                <c:pt idx="4">
                  <c:v>5.4550000000000001</c:v>
                </c:pt>
                <c:pt idx="5">
                  <c:v>7.0570000000000004</c:v>
                </c:pt>
                <c:pt idx="6">
                  <c:v>6.9050000000000002</c:v>
                </c:pt>
                <c:pt idx="7">
                  <c:v>4.8929999999999998</c:v>
                </c:pt>
                <c:pt idx="8">
                  <c:v>3.8860000000000001</c:v>
                </c:pt>
                <c:pt idx="9">
                  <c:v>6.8940000000000001</c:v>
                </c:pt>
                <c:pt idx="10">
                  <c:v>4.3769999999999998</c:v>
                </c:pt>
                <c:pt idx="11">
                  <c:v>5.7839999999999998</c:v>
                </c:pt>
                <c:pt idx="12">
                  <c:v>5.8769999999999998</c:v>
                </c:pt>
                <c:pt idx="13">
                  <c:v>3.383</c:v>
                </c:pt>
                <c:pt idx="14">
                  <c:v>6.2720000000000002</c:v>
                </c:pt>
                <c:pt idx="15">
                  <c:v>5.4630000000000001</c:v>
                </c:pt>
                <c:pt idx="16">
                  <c:v>4.548</c:v>
                </c:pt>
                <c:pt idx="17">
                  <c:v>4.3410000000000002</c:v>
                </c:pt>
                <c:pt idx="18">
                  <c:v>4.8739999999999997</c:v>
                </c:pt>
                <c:pt idx="19">
                  <c:v>6.9</c:v>
                </c:pt>
                <c:pt idx="20">
                  <c:v>4.4710000000000001</c:v>
                </c:pt>
                <c:pt idx="21">
                  <c:v>6.36</c:v>
                </c:pt>
                <c:pt idx="22">
                  <c:v>5.6950000000000003</c:v>
                </c:pt>
                <c:pt idx="23">
                  <c:v>3.5659999999999998</c:v>
                </c:pt>
                <c:pt idx="24">
                  <c:v>5.2210000000000001</c:v>
                </c:pt>
                <c:pt idx="25">
                  <c:v>3.2949999999999999</c:v>
                </c:pt>
                <c:pt idx="26">
                  <c:v>6.9550000000000001</c:v>
                </c:pt>
                <c:pt idx="27">
                  <c:v>5.9420000000000002</c:v>
                </c:pt>
                <c:pt idx="28">
                  <c:v>6.0679999999999996</c:v>
                </c:pt>
                <c:pt idx="29">
                  <c:v>6.8220000000000001</c:v>
                </c:pt>
                <c:pt idx="30">
                  <c:v>7.5830000000000002</c:v>
                </c:pt>
                <c:pt idx="31">
                  <c:v>5.8230000000000004</c:v>
                </c:pt>
                <c:pt idx="32">
                  <c:v>5.7249999999999996</c:v>
                </c:pt>
                <c:pt idx="33">
                  <c:v>3.9769999999999999</c:v>
                </c:pt>
                <c:pt idx="34">
                  <c:v>6.4690000000000003</c:v>
                </c:pt>
                <c:pt idx="35">
                  <c:v>6.4480000000000004</c:v>
                </c:pt>
                <c:pt idx="36">
                  <c:v>3.5019999999999998</c:v>
                </c:pt>
                <c:pt idx="37">
                  <c:v>3.8610000000000002</c:v>
                </c:pt>
                <c:pt idx="38">
                  <c:v>7.7409999999999997</c:v>
                </c:pt>
                <c:pt idx="39">
                  <c:v>6.609</c:v>
                </c:pt>
                <c:pt idx="40">
                  <c:v>5.1059999999999999</c:v>
                </c:pt>
                <c:pt idx="41">
                  <c:v>4.4850000000000003</c:v>
                </c:pt>
                <c:pt idx="42">
                  <c:v>5.1849999999999996</c:v>
                </c:pt>
                <c:pt idx="43">
                  <c:v>6.7190000000000003</c:v>
                </c:pt>
                <c:pt idx="44">
                  <c:v>4.2889999999999997</c:v>
                </c:pt>
                <c:pt idx="45">
                  <c:v>5.9340000000000002</c:v>
                </c:pt>
                <c:pt idx="46">
                  <c:v>6.2869999999999999</c:v>
                </c:pt>
                <c:pt idx="47">
                  <c:v>5.0229999999999997</c:v>
                </c:pt>
                <c:pt idx="48">
                  <c:v>5.968</c:v>
                </c:pt>
                <c:pt idx="49">
                  <c:v>6.0170000000000003</c:v>
                </c:pt>
                <c:pt idx="50">
                  <c:v>7.5250000000000004</c:v>
                </c:pt>
                <c:pt idx="51">
                  <c:v>4.0540000000000003</c:v>
                </c:pt>
                <c:pt idx="52">
                  <c:v>5.5679999999999996</c:v>
                </c:pt>
                <c:pt idx="53">
                  <c:v>4.923</c:v>
                </c:pt>
                <c:pt idx="54">
                  <c:v>5.1660000000000004</c:v>
                </c:pt>
                <c:pt idx="55">
                  <c:v>6.8380000000000001</c:v>
                </c:pt>
                <c:pt idx="56">
                  <c:v>7.3410000000000002</c:v>
                </c:pt>
                <c:pt idx="57">
                  <c:v>6.3239999999999998</c:v>
                </c:pt>
                <c:pt idx="58">
                  <c:v>5.08</c:v>
                </c:pt>
                <c:pt idx="59">
                  <c:v>5.8419999999999996</c:v>
                </c:pt>
                <c:pt idx="60">
                  <c:v>6.06</c:v>
                </c:pt>
                <c:pt idx="61">
                  <c:v>4.1859999999999999</c:v>
                </c:pt>
                <c:pt idx="62">
                  <c:v>6.1879999999999997</c:v>
                </c:pt>
                <c:pt idx="63">
                  <c:v>4.47</c:v>
                </c:pt>
                <c:pt idx="64">
                  <c:v>5.7140000000000004</c:v>
                </c:pt>
                <c:pt idx="65">
                  <c:v>5.1390000000000002</c:v>
                </c:pt>
                <c:pt idx="66">
                  <c:v>6.234</c:v>
                </c:pt>
                <c:pt idx="67">
                  <c:v>2.7069999999999999</c:v>
                </c:pt>
                <c:pt idx="68">
                  <c:v>3.1859999999999999</c:v>
                </c:pt>
                <c:pt idx="69">
                  <c:v>4.2690000000000001</c:v>
                </c:pt>
                <c:pt idx="70">
                  <c:v>5.8659999999999997</c:v>
                </c:pt>
                <c:pt idx="71">
                  <c:v>6.8179999999999996</c:v>
                </c:pt>
                <c:pt idx="72">
                  <c:v>7.1219999999999999</c:v>
                </c:pt>
                <c:pt idx="73">
                  <c:v>4.2279999999999998</c:v>
                </c:pt>
                <c:pt idx="74">
                  <c:v>3.4209999999999998</c:v>
                </c:pt>
                <c:pt idx="75">
                  <c:v>5.9749999999999996</c:v>
                </c:pt>
                <c:pt idx="76">
                  <c:v>4.2320000000000002</c:v>
                </c:pt>
                <c:pt idx="77">
                  <c:v>6.3460000000000001</c:v>
                </c:pt>
                <c:pt idx="78">
                  <c:v>4.5049999999999999</c:v>
                </c:pt>
                <c:pt idx="79">
                  <c:v>5.8159999999999998</c:v>
                </c:pt>
                <c:pt idx="80">
                  <c:v>6.6779999999999999</c:v>
                </c:pt>
                <c:pt idx="81">
                  <c:v>5.8159999999999998</c:v>
                </c:pt>
                <c:pt idx="82">
                  <c:v>5.6959999999999997</c:v>
                </c:pt>
                <c:pt idx="83">
                  <c:v>5.7069999999999999</c:v>
                </c:pt>
                <c:pt idx="84">
                  <c:v>4.7949999999999999</c:v>
                </c:pt>
                <c:pt idx="85">
                  <c:v>5.2160000000000002</c:v>
                </c:pt>
                <c:pt idx="86">
                  <c:v>4.3540000000000001</c:v>
                </c:pt>
                <c:pt idx="87">
                  <c:v>4.8319999999999999</c:v>
                </c:pt>
                <c:pt idx="88">
                  <c:v>5.1580000000000004</c:v>
                </c:pt>
                <c:pt idx="89">
                  <c:v>7.319</c:v>
                </c:pt>
                <c:pt idx="90">
                  <c:v>7.0289999999999999</c:v>
                </c:pt>
                <c:pt idx="91">
                  <c:v>6.2839999999999998</c:v>
                </c:pt>
                <c:pt idx="92">
                  <c:v>4.556</c:v>
                </c:pt>
                <c:pt idx="93">
                  <c:v>4.8810000000000002</c:v>
                </c:pt>
                <c:pt idx="94">
                  <c:v>5.3689999999999998</c:v>
                </c:pt>
                <c:pt idx="95">
                  <c:v>7.3019999999999996</c:v>
                </c:pt>
                <c:pt idx="96">
                  <c:v>4.657</c:v>
                </c:pt>
                <c:pt idx="97">
                  <c:v>6.3579999999999997</c:v>
                </c:pt>
                <c:pt idx="98">
                  <c:v>5.9770000000000003</c:v>
                </c:pt>
                <c:pt idx="99">
                  <c:v>5.8410000000000002</c:v>
                </c:pt>
                <c:pt idx="100">
                  <c:v>6.048</c:v>
                </c:pt>
                <c:pt idx="101">
                  <c:v>6.4420000000000002</c:v>
                </c:pt>
                <c:pt idx="102">
                  <c:v>6.03</c:v>
                </c:pt>
                <c:pt idx="103">
                  <c:v>6.4909999999999997</c:v>
                </c:pt>
                <c:pt idx="104">
                  <c:v>5.7850000000000001</c:v>
                </c:pt>
                <c:pt idx="105">
                  <c:v>4.9690000000000003</c:v>
                </c:pt>
                <c:pt idx="106">
                  <c:v>6.4109999999999996</c:v>
                </c:pt>
                <c:pt idx="107">
                  <c:v>3.2450000000000001</c:v>
                </c:pt>
                <c:pt idx="108">
                  <c:v>6.5229999999999997</c:v>
                </c:pt>
                <c:pt idx="109">
                  <c:v>6.2569999999999997</c:v>
                </c:pt>
                <c:pt idx="110">
                  <c:v>6.7430000000000003</c:v>
                </c:pt>
                <c:pt idx="111">
                  <c:v>5.4219999999999997</c:v>
                </c:pt>
                <c:pt idx="112">
                  <c:v>6.0579999999999998</c:v>
                </c:pt>
                <c:pt idx="113">
                  <c:v>6.4210000000000003</c:v>
                </c:pt>
                <c:pt idx="114">
                  <c:v>3.8980000000000001</c:v>
                </c:pt>
                <c:pt idx="115">
                  <c:v>7.3440000000000003</c:v>
                </c:pt>
                <c:pt idx="116">
                  <c:v>7.06</c:v>
                </c:pt>
                <c:pt idx="117">
                  <c:v>3.7810000000000001</c:v>
                </c:pt>
                <c:pt idx="118">
                  <c:v>5.976</c:v>
                </c:pt>
                <c:pt idx="119">
                  <c:v>4.2140000000000004</c:v>
                </c:pt>
                <c:pt idx="120">
                  <c:v>4.4219999999999997</c:v>
                </c:pt>
                <c:pt idx="121">
                  <c:v>4.9749999999999996</c:v>
                </c:pt>
                <c:pt idx="122">
                  <c:v>4.3719999999999999</c:v>
                </c:pt>
                <c:pt idx="123">
                  <c:v>4.8730000000000002</c:v>
                </c:pt>
                <c:pt idx="124">
                  <c:v>6.7489999999999997</c:v>
                </c:pt>
                <c:pt idx="125">
                  <c:v>6.7249999999999996</c:v>
                </c:pt>
                <c:pt idx="126">
                  <c:v>6.6109999999999998</c:v>
                </c:pt>
                <c:pt idx="127">
                  <c:v>6.1950000000000003</c:v>
                </c:pt>
                <c:pt idx="128">
                  <c:v>6.0430000000000001</c:v>
                </c:pt>
                <c:pt idx="129">
                  <c:v>3.5019999999999998</c:v>
                </c:pt>
                <c:pt idx="130">
                  <c:v>3.3410000000000002</c:v>
                </c:pt>
              </c:numCache>
            </c:numRef>
          </c:xVal>
          <c:yVal>
            <c:numRef>
              <c:f>FINAL!$J$2:$J$132</c:f>
              <c:numCache>
                <c:formatCode>General</c:formatCode>
                <c:ptCount val="131"/>
                <c:pt idx="0">
                  <c:v>0.54800000000000004</c:v>
                </c:pt>
                <c:pt idx="1">
                  <c:v>0.27400000000000002</c:v>
                </c:pt>
                <c:pt idx="2">
                  <c:v>0.26</c:v>
                </c:pt>
                <c:pt idx="3">
                  <c:v>0.31</c:v>
                </c:pt>
                <c:pt idx="4">
                  <c:v>0.48299999999999998</c:v>
                </c:pt>
                <c:pt idx="5">
                  <c:v>0.24199999999999999</c:v>
                </c:pt>
                <c:pt idx="6">
                  <c:v>0.24099999999999999</c:v>
                </c:pt>
                <c:pt idx="7">
                  <c:v>0.308</c:v>
                </c:pt>
                <c:pt idx="8">
                  <c:v>0.443</c:v>
                </c:pt>
                <c:pt idx="9">
                  <c:v>0.247</c:v>
                </c:pt>
                <c:pt idx="10">
                  <c:v>0.434</c:v>
                </c:pt>
                <c:pt idx="11">
                  <c:v>0.40200000000000002</c:v>
                </c:pt>
                <c:pt idx="12">
                  <c:v>0.28000000000000003</c:v>
                </c:pt>
                <c:pt idx="13">
                  <c:v>0.26600000000000001</c:v>
                </c:pt>
                <c:pt idx="14">
                  <c:v>0.35399999999999998</c:v>
                </c:pt>
                <c:pt idx="15">
                  <c:v>0.20399999999999999</c:v>
                </c:pt>
                <c:pt idx="16">
                  <c:v>0.35299999999999998</c:v>
                </c:pt>
                <c:pt idx="17">
                  <c:v>0.39</c:v>
                </c:pt>
                <c:pt idx="18">
                  <c:v>0.35399999999999998</c:v>
                </c:pt>
                <c:pt idx="19">
                  <c:v>0.28899999999999998</c:v>
                </c:pt>
                <c:pt idx="20">
                  <c:v>0.48399999999999999</c:v>
                </c:pt>
                <c:pt idx="21">
                  <c:v>0.245</c:v>
                </c:pt>
                <c:pt idx="22">
                  <c:v>0.312</c:v>
                </c:pt>
                <c:pt idx="23">
                  <c:v>0.378</c:v>
                </c:pt>
                <c:pt idx="24">
                  <c:v>0.434</c:v>
                </c:pt>
                <c:pt idx="25">
                  <c:v>0.47699999999999998</c:v>
                </c:pt>
                <c:pt idx="26">
                  <c:v>0.28999999999999998</c:v>
                </c:pt>
                <c:pt idx="27">
                  <c:v>0.255</c:v>
                </c:pt>
                <c:pt idx="28">
                  <c:v>0.29099999999999998</c:v>
                </c:pt>
                <c:pt idx="29">
                  <c:v>0.246</c:v>
                </c:pt>
                <c:pt idx="30">
                  <c:v>0.214</c:v>
                </c:pt>
                <c:pt idx="31">
                  <c:v>0.28000000000000003</c:v>
                </c:pt>
                <c:pt idx="32">
                  <c:v>0.371</c:v>
                </c:pt>
                <c:pt idx="33">
                  <c:v>0.32700000000000001</c:v>
                </c:pt>
                <c:pt idx="34">
                  <c:v>0.30099999999999999</c:v>
                </c:pt>
                <c:pt idx="35">
                  <c:v>0.182</c:v>
                </c:pt>
                <c:pt idx="36">
                  <c:v>0.39500000000000002</c:v>
                </c:pt>
                <c:pt idx="37">
                  <c:v>0.315</c:v>
                </c:pt>
                <c:pt idx="38">
                  <c:v>0.18</c:v>
                </c:pt>
                <c:pt idx="39">
                  <c:v>0.249</c:v>
                </c:pt>
                <c:pt idx="40">
                  <c:v>0.39900000000000002</c:v>
                </c:pt>
                <c:pt idx="41">
                  <c:v>0.36599999999999999</c:v>
                </c:pt>
                <c:pt idx="42">
                  <c:v>0.23499999999999999</c:v>
                </c:pt>
                <c:pt idx="43">
                  <c:v>0.22800000000000001</c:v>
                </c:pt>
                <c:pt idx="44">
                  <c:v>0.28000000000000003</c:v>
                </c:pt>
                <c:pt idx="45">
                  <c:v>0.26900000000000002</c:v>
                </c:pt>
                <c:pt idx="46">
                  <c:v>0.28100000000000003</c:v>
                </c:pt>
                <c:pt idx="47">
                  <c:v>0.48799999999999999</c:v>
                </c:pt>
                <c:pt idx="48">
                  <c:v>0.28100000000000003</c:v>
                </c:pt>
                <c:pt idx="49">
                  <c:v>0.21</c:v>
                </c:pt>
                <c:pt idx="50">
                  <c:v>0.17499999999999999</c:v>
                </c:pt>
                <c:pt idx="51">
                  <c:v>0.41399999999999998</c:v>
                </c:pt>
                <c:pt idx="52">
                  <c:v>0.27600000000000002</c:v>
                </c:pt>
                <c:pt idx="53">
                  <c:v>0.439</c:v>
                </c:pt>
                <c:pt idx="54">
                  <c:v>0.48199999999999998</c:v>
                </c:pt>
                <c:pt idx="55">
                  <c:v>0.24199999999999999</c:v>
                </c:pt>
                <c:pt idx="56">
                  <c:v>0.30399999999999999</c:v>
                </c:pt>
                <c:pt idx="57">
                  <c:v>0.30299999999999999</c:v>
                </c:pt>
                <c:pt idx="58">
                  <c:v>0.34699999999999998</c:v>
                </c:pt>
                <c:pt idx="59">
                  <c:v>0.28899999999999998</c:v>
                </c:pt>
                <c:pt idx="60">
                  <c:v>0.17699999999999999</c:v>
                </c:pt>
                <c:pt idx="61">
                  <c:v>0.435</c:v>
                </c:pt>
                <c:pt idx="62">
                  <c:v>0.123</c:v>
                </c:pt>
                <c:pt idx="63">
                  <c:v>0.25900000000000001</c:v>
                </c:pt>
                <c:pt idx="64">
                  <c:v>0.19800000000000001</c:v>
                </c:pt>
                <c:pt idx="65">
                  <c:v>0.317</c:v>
                </c:pt>
                <c:pt idx="66">
                  <c:v>0.2</c:v>
                </c:pt>
                <c:pt idx="67">
                  <c:v>0.46100000000000002</c:v>
                </c:pt>
                <c:pt idx="68">
                  <c:v>0.28799999999999998</c:v>
                </c:pt>
                <c:pt idx="69">
                  <c:v>0.433</c:v>
                </c:pt>
                <c:pt idx="70">
                  <c:v>0.38600000000000001</c:v>
                </c:pt>
                <c:pt idx="71">
                  <c:v>0.17699999999999999</c:v>
                </c:pt>
                <c:pt idx="72">
                  <c:v>0.20599999999999999</c:v>
                </c:pt>
                <c:pt idx="73">
                  <c:v>0.36599999999999999</c:v>
                </c:pt>
                <c:pt idx="74">
                  <c:v>0.33200000000000002</c:v>
                </c:pt>
                <c:pt idx="75">
                  <c:v>0.189</c:v>
                </c:pt>
                <c:pt idx="76">
                  <c:v>0.38800000000000001</c:v>
                </c:pt>
                <c:pt idx="77">
                  <c:v>0.36899999999999999</c:v>
                </c:pt>
                <c:pt idx="78">
                  <c:v>0.36</c:v>
                </c:pt>
                <c:pt idx="79">
                  <c:v>0.155</c:v>
                </c:pt>
                <c:pt idx="80">
                  <c:v>0.248</c:v>
                </c:pt>
                <c:pt idx="81">
                  <c:v>0.26300000000000001</c:v>
                </c:pt>
                <c:pt idx="82">
                  <c:v>0.20300000000000001</c:v>
                </c:pt>
                <c:pt idx="83">
                  <c:v>0.317</c:v>
                </c:pt>
                <c:pt idx="84">
                  <c:v>0.38900000000000001</c:v>
                </c:pt>
                <c:pt idx="85">
                  <c:v>0.35</c:v>
                </c:pt>
                <c:pt idx="86">
                  <c:v>0.32800000000000001</c:v>
                </c:pt>
                <c:pt idx="87">
                  <c:v>0.23300000000000001</c:v>
                </c:pt>
                <c:pt idx="88">
                  <c:v>0.34599999999999997</c:v>
                </c:pt>
                <c:pt idx="89">
                  <c:v>0.20100000000000001</c:v>
                </c:pt>
                <c:pt idx="90">
                  <c:v>0.215</c:v>
                </c:pt>
                <c:pt idx="91">
                  <c:v>0.32200000000000001</c:v>
                </c:pt>
                <c:pt idx="92">
                  <c:v>0.39200000000000002</c:v>
                </c:pt>
                <c:pt idx="93">
                  <c:v>0.23699999999999999</c:v>
                </c:pt>
                <c:pt idx="94">
                  <c:v>0.28399999999999997</c:v>
                </c:pt>
                <c:pt idx="95">
                  <c:v>0.215</c:v>
                </c:pt>
                <c:pt idx="96">
                  <c:v>0.36399999999999999</c:v>
                </c:pt>
                <c:pt idx="97">
                  <c:v>0.24299999999999999</c:v>
                </c:pt>
                <c:pt idx="98">
                  <c:v>0.24199999999999999</c:v>
                </c:pt>
                <c:pt idx="99">
                  <c:v>0.372</c:v>
                </c:pt>
                <c:pt idx="100">
                  <c:v>0.316</c:v>
                </c:pt>
                <c:pt idx="101">
                  <c:v>0.193</c:v>
                </c:pt>
                <c:pt idx="102">
                  <c:v>0.30299999999999999</c:v>
                </c:pt>
                <c:pt idx="103">
                  <c:v>0.26100000000000001</c:v>
                </c:pt>
                <c:pt idx="104">
                  <c:v>0.19700000000000001</c:v>
                </c:pt>
                <c:pt idx="105">
                  <c:v>0.27</c:v>
                </c:pt>
                <c:pt idx="106">
                  <c:v>0.26400000000000001</c:v>
                </c:pt>
                <c:pt idx="107">
                  <c:v>0.46100000000000002</c:v>
                </c:pt>
                <c:pt idx="108">
                  <c:v>0.187</c:v>
                </c:pt>
                <c:pt idx="109">
                  <c:v>0.246</c:v>
                </c:pt>
                <c:pt idx="110">
                  <c:v>0.253</c:v>
                </c:pt>
                <c:pt idx="111">
                  <c:v>0.221</c:v>
                </c:pt>
                <c:pt idx="112">
                  <c:v>0.23300000000000001</c:v>
                </c:pt>
                <c:pt idx="113">
                  <c:v>0.32300000000000001</c:v>
                </c:pt>
                <c:pt idx="114">
                  <c:v>0.32600000000000001</c:v>
                </c:pt>
                <c:pt idx="115">
                  <c:v>0.183</c:v>
                </c:pt>
                <c:pt idx="116">
                  <c:v>0.182</c:v>
                </c:pt>
                <c:pt idx="117">
                  <c:v>0.218</c:v>
                </c:pt>
                <c:pt idx="118">
                  <c:v>0.24299999999999999</c:v>
                </c:pt>
                <c:pt idx="119">
                  <c:v>0.39900000000000002</c:v>
                </c:pt>
                <c:pt idx="120">
                  <c:v>0.33400000000000002</c:v>
                </c:pt>
                <c:pt idx="121">
                  <c:v>0.40300000000000002</c:v>
                </c:pt>
                <c:pt idx="122">
                  <c:v>0.39300000000000002</c:v>
                </c:pt>
                <c:pt idx="123">
                  <c:v>0.34</c:v>
                </c:pt>
                <c:pt idx="124">
                  <c:v>0.26900000000000002</c:v>
                </c:pt>
                <c:pt idx="125">
                  <c:v>0.27700000000000002</c:v>
                </c:pt>
                <c:pt idx="126">
                  <c:v>0.26500000000000001</c:v>
                </c:pt>
                <c:pt idx="127">
                  <c:v>0.221</c:v>
                </c:pt>
                <c:pt idx="128">
                  <c:v>0.16900000000000001</c:v>
                </c:pt>
                <c:pt idx="129">
                  <c:v>0.34</c:v>
                </c:pt>
                <c:pt idx="130">
                  <c:v>0.20399999999999999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5A-4AB5-BDF1-A54C1206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085760"/>
        <c:axId val="1717087200"/>
      </c:scatterChart>
      <c:valAx>
        <c:axId val="171708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087200"/>
        <c:crosses val="autoZero"/>
        <c:crossBetween val="midCat"/>
      </c:valAx>
      <c:valAx>
        <c:axId val="17170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08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288925</xdr:colOff>
      <xdr:row>1</xdr:row>
      <xdr:rowOff>6350</xdr:rowOff>
    </xdr:from>
    <xdr:to>
      <xdr:col>17</xdr:col>
      <xdr:colOff>593725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3A743-CFAE-F636-3D40-CA780BD35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8204-F4D0-4D34-ADE3-B91251BB5BFB}">
  <dimension ref="A1:J132"/>
  <sheetViews>
    <sheetView workbookViewId="0">
      <selection activeCell="B1" sqref="B1"/>
    </sheetView>
  </sheetViews>
  <sheetFormatPr defaultRowHeight="14.5" x14ac:dyDescent="0.35"/>
  <cols>
    <col min="1" max="1" width="27.6328125" bestFit="1" customWidth="1"/>
    <col min="2" max="2" width="9.36328125" style="2" bestFit="1" customWidth="1"/>
    <col min="3" max="3" width="8.7265625" style="2"/>
    <col min="4" max="4" width="9.1796875" style="2" customWidth="1"/>
    <col min="5" max="5" width="8.36328125" style="2" customWidth="1"/>
    <col min="6" max="7" width="8.7265625" style="2"/>
    <col min="8" max="8" width="9.453125" style="2" bestFit="1" customWidth="1"/>
    <col min="9" max="9" width="9.453125" style="2" customWidth="1"/>
    <col min="10" max="10" width="9.6328125" style="2" customWidth="1"/>
    <col min="11" max="16384" width="8.7265625" style="2"/>
  </cols>
  <sheetData>
    <row r="1" spans="1:10" ht="29" x14ac:dyDescent="0.35">
      <c r="A1" s="1"/>
      <c r="B1" s="1" t="s">
        <v>1279</v>
      </c>
      <c r="C1" s="1" t="s">
        <v>139</v>
      </c>
      <c r="D1" s="5" t="s">
        <v>283</v>
      </c>
      <c r="E1" s="5" t="s">
        <v>284</v>
      </c>
      <c r="F1" s="1" t="s">
        <v>424</v>
      </c>
      <c r="G1" s="1" t="s">
        <v>567</v>
      </c>
      <c r="H1" s="1" t="s">
        <v>849</v>
      </c>
      <c r="I1" s="5" t="s">
        <v>1280</v>
      </c>
      <c r="J1" s="5" t="s">
        <v>1281</v>
      </c>
    </row>
    <row r="2" spans="1:10" x14ac:dyDescent="0.35">
      <c r="A2" s="2" t="s">
        <v>2460</v>
      </c>
      <c r="B2" s="2">
        <v>1.7210000000000001</v>
      </c>
      <c r="C2" s="3">
        <v>1517</v>
      </c>
      <c r="D2" s="2">
        <v>0.35</v>
      </c>
      <c r="E2" s="2">
        <v>53.9</v>
      </c>
      <c r="F2" s="2">
        <v>0.33100000000000002</v>
      </c>
      <c r="G2" s="2">
        <v>8.2000000000000003E-2</v>
      </c>
      <c r="H2" s="2">
        <v>0.81299999999999994</v>
      </c>
      <c r="I2" s="2">
        <v>0.215</v>
      </c>
      <c r="J2" s="2">
        <v>0.54800000000000004</v>
      </c>
    </row>
    <row r="3" spans="1:10" x14ac:dyDescent="0.35">
      <c r="A3" s="2" t="s">
        <v>2461</v>
      </c>
      <c r="B3" s="2">
        <v>5.3040000000000003</v>
      </c>
      <c r="C3" s="3">
        <v>15399</v>
      </c>
      <c r="D3" s="2">
        <v>0.71099999999999997</v>
      </c>
      <c r="E3" s="2">
        <v>69.099999999999994</v>
      </c>
      <c r="F3" s="2">
        <v>0.83199999999999996</v>
      </c>
      <c r="G3" s="2">
        <v>0.33500000000000002</v>
      </c>
      <c r="H3" s="2">
        <v>0.86699999999999999</v>
      </c>
      <c r="I3" s="2">
        <v>0.56799999999999995</v>
      </c>
      <c r="J3" s="2">
        <v>0.27400000000000002</v>
      </c>
    </row>
    <row r="4" spans="1:10" x14ac:dyDescent="0.35">
      <c r="A4" s="2" t="s">
        <v>2462</v>
      </c>
      <c r="B4" s="2">
        <v>5.3639999999999999</v>
      </c>
      <c r="C4" s="3">
        <v>11101</v>
      </c>
      <c r="D4" s="2">
        <v>0.81499999999999995</v>
      </c>
      <c r="E4" s="2">
        <v>66.400000000000006</v>
      </c>
      <c r="F4" s="2">
        <v>0.51100000000000001</v>
      </c>
      <c r="G4" s="2">
        <v>0.217</v>
      </c>
      <c r="H4" s="2">
        <v>0.66100000000000003</v>
      </c>
      <c r="I4" s="2">
        <v>0.53700000000000003</v>
      </c>
      <c r="J4" s="2">
        <v>0.26</v>
      </c>
    </row>
    <row r="5" spans="1:10" x14ac:dyDescent="0.35">
      <c r="A5" s="2" t="s">
        <v>2463</v>
      </c>
      <c r="B5" s="2">
        <v>6.1879999999999997</v>
      </c>
      <c r="C5" s="3">
        <v>21951</v>
      </c>
      <c r="D5" s="2">
        <v>0.88900000000000001</v>
      </c>
      <c r="E5" s="2">
        <v>67.099999999999994</v>
      </c>
      <c r="F5" s="2">
        <v>0.82499999999999996</v>
      </c>
      <c r="G5" s="2">
        <v>0.25600000000000001</v>
      </c>
      <c r="H5" s="2">
        <v>0.82399999999999995</v>
      </c>
      <c r="I5" s="2">
        <v>0.71</v>
      </c>
      <c r="J5" s="2">
        <v>0.31</v>
      </c>
    </row>
    <row r="6" spans="1:10" x14ac:dyDescent="0.35">
      <c r="A6" s="2" t="s">
        <v>2464</v>
      </c>
      <c r="B6" s="2">
        <v>5.4550000000000001</v>
      </c>
      <c r="C6" s="3">
        <v>15652</v>
      </c>
      <c r="D6" s="2">
        <v>0.80100000000000005</v>
      </c>
      <c r="E6" s="2">
        <v>67.099999999999994</v>
      </c>
      <c r="F6" s="2">
        <v>0.80300000000000005</v>
      </c>
      <c r="G6" s="2">
        <v>0.159</v>
      </c>
      <c r="H6" s="2">
        <v>0.69799999999999995</v>
      </c>
      <c r="I6" s="2">
        <v>0.55900000000000005</v>
      </c>
      <c r="J6" s="2">
        <v>0.48299999999999998</v>
      </c>
    </row>
    <row r="7" spans="1:10" x14ac:dyDescent="0.35">
      <c r="A7" s="2" t="s">
        <v>2465</v>
      </c>
      <c r="B7" s="2">
        <v>7.0570000000000004</v>
      </c>
      <c r="C7" s="3">
        <v>50703</v>
      </c>
      <c r="D7" s="2">
        <v>0.92</v>
      </c>
      <c r="E7" s="2">
        <v>70.900000000000006</v>
      </c>
      <c r="F7" s="2">
        <v>0.88</v>
      </c>
      <c r="G7" s="2">
        <v>0.6</v>
      </c>
      <c r="H7" s="2">
        <v>0.49299999999999999</v>
      </c>
      <c r="I7" s="2">
        <v>0.72799999999999998</v>
      </c>
      <c r="J7" s="2">
        <v>0.24199999999999999</v>
      </c>
    </row>
    <row r="8" spans="1:10" x14ac:dyDescent="0.35">
      <c r="A8" s="2" t="s">
        <v>2466</v>
      </c>
      <c r="B8" s="2">
        <v>6.9050000000000002</v>
      </c>
      <c r="C8" s="3">
        <v>55409</v>
      </c>
      <c r="D8" s="2">
        <v>0.872</v>
      </c>
      <c r="E8" s="2">
        <v>70.900000000000006</v>
      </c>
      <c r="F8" s="2">
        <v>0.84099999999999997</v>
      </c>
      <c r="G8" s="2">
        <v>0.58199999999999996</v>
      </c>
      <c r="H8" s="2">
        <v>0.51800000000000002</v>
      </c>
      <c r="I8" s="2">
        <v>0.71799999999999997</v>
      </c>
      <c r="J8" s="2">
        <v>0.24099999999999999</v>
      </c>
    </row>
    <row r="9" spans="1:10" x14ac:dyDescent="0.35">
      <c r="A9" s="2" t="s">
        <v>2467</v>
      </c>
      <c r="B9" s="2">
        <v>4.8929999999999998</v>
      </c>
      <c r="C9" s="3">
        <v>15181</v>
      </c>
      <c r="D9" s="2">
        <v>0.69199999999999995</v>
      </c>
      <c r="E9" s="2">
        <v>63.6</v>
      </c>
      <c r="F9" s="2">
        <v>0.81599999999999995</v>
      </c>
      <c r="G9" s="2">
        <v>0.27800000000000002</v>
      </c>
      <c r="H9" s="2">
        <v>0.66200000000000003</v>
      </c>
      <c r="I9" s="2">
        <v>0.52200000000000002</v>
      </c>
      <c r="J9" s="2">
        <v>0.308</v>
      </c>
    </row>
    <row r="10" spans="1:10" x14ac:dyDescent="0.35">
      <c r="A10" s="2" t="s">
        <v>2468</v>
      </c>
      <c r="B10" s="2">
        <v>3.8860000000000001</v>
      </c>
      <c r="C10" s="3">
        <v>6228</v>
      </c>
      <c r="D10" s="2">
        <v>0.44800000000000001</v>
      </c>
      <c r="E10" s="2">
        <v>64.3</v>
      </c>
      <c r="F10" s="2">
        <v>0.89400000000000002</v>
      </c>
      <c r="G10" s="2">
        <v>0.27600000000000002</v>
      </c>
      <c r="H10" s="2">
        <v>0.70499999999999996</v>
      </c>
      <c r="I10" s="2">
        <v>0.44600000000000001</v>
      </c>
      <c r="J10" s="2">
        <v>0.443</v>
      </c>
    </row>
    <row r="11" spans="1:10" x14ac:dyDescent="0.35">
      <c r="A11" s="2" t="s">
        <v>2469</v>
      </c>
      <c r="B11" s="2">
        <v>6.8940000000000001</v>
      </c>
      <c r="C11" s="3">
        <v>52743</v>
      </c>
      <c r="D11" s="2">
        <v>0.91200000000000003</v>
      </c>
      <c r="E11" s="2">
        <v>70.599999999999994</v>
      </c>
      <c r="F11" s="2">
        <v>0.86</v>
      </c>
      <c r="G11" s="2">
        <v>0.49199999999999999</v>
      </c>
      <c r="H11" s="2">
        <v>0.51</v>
      </c>
      <c r="I11" s="2">
        <v>0.71099999999999997</v>
      </c>
      <c r="J11" s="2">
        <v>0.247</v>
      </c>
    </row>
    <row r="12" spans="1:10" x14ac:dyDescent="0.35">
      <c r="A12" s="2" t="s">
        <v>2470</v>
      </c>
      <c r="B12" s="2">
        <v>4.3769999999999998</v>
      </c>
      <c r="C12" s="3">
        <v>3434</v>
      </c>
      <c r="D12" s="2">
        <v>0.4</v>
      </c>
      <c r="E12" s="2">
        <v>55.5</v>
      </c>
      <c r="F12" s="2">
        <v>0.74299999999999999</v>
      </c>
      <c r="G12" s="2">
        <v>0.17499999999999999</v>
      </c>
      <c r="H12" s="2">
        <v>0.59</v>
      </c>
      <c r="I12" s="2">
        <v>0.58099999999999996</v>
      </c>
      <c r="J12" s="2">
        <v>0.434</v>
      </c>
    </row>
    <row r="13" spans="1:10" x14ac:dyDescent="0.35">
      <c r="A13" s="2" t="s">
        <v>2471</v>
      </c>
      <c r="B13" s="2">
        <v>5.7839999999999998</v>
      </c>
      <c r="C13" s="3">
        <v>8185</v>
      </c>
      <c r="D13" s="2">
        <v>0.81</v>
      </c>
      <c r="E13" s="2">
        <v>63.3</v>
      </c>
      <c r="F13" s="2">
        <v>0.85399999999999998</v>
      </c>
      <c r="G13" s="2">
        <v>0.21099999999999999</v>
      </c>
      <c r="H13" s="2">
        <v>0.85099999999999998</v>
      </c>
      <c r="I13" s="2">
        <v>0.74299999999999999</v>
      </c>
      <c r="J13" s="2">
        <v>0.40200000000000002</v>
      </c>
    </row>
    <row r="14" spans="1:10" x14ac:dyDescent="0.35">
      <c r="A14" s="2" t="s">
        <v>2472</v>
      </c>
      <c r="B14" s="2">
        <v>5.8769999999999998</v>
      </c>
      <c r="C14" s="3">
        <v>16629</v>
      </c>
      <c r="D14" s="2">
        <v>0.86499999999999999</v>
      </c>
      <c r="E14" s="2">
        <v>67.2</v>
      </c>
      <c r="F14" s="2">
        <v>0.78200000000000003</v>
      </c>
      <c r="G14" s="2">
        <v>0.56299999999999994</v>
      </c>
      <c r="H14" s="2">
        <v>0.93400000000000005</v>
      </c>
      <c r="I14" s="2">
        <v>0.57599999999999996</v>
      </c>
      <c r="J14" s="2">
        <v>0.28000000000000003</v>
      </c>
    </row>
    <row r="15" spans="1:10" x14ac:dyDescent="0.35">
      <c r="A15" s="2" t="s">
        <v>2473</v>
      </c>
      <c r="B15" s="2">
        <v>3.383</v>
      </c>
      <c r="C15" s="3">
        <v>15702</v>
      </c>
      <c r="D15" s="2">
        <v>0.72799999999999998</v>
      </c>
      <c r="E15" s="2">
        <v>53.9</v>
      </c>
      <c r="F15" s="2">
        <v>0.74299999999999999</v>
      </c>
      <c r="G15" s="2">
        <v>8.3000000000000004E-2</v>
      </c>
      <c r="H15" s="2">
        <v>0.82199999999999995</v>
      </c>
      <c r="I15" s="2">
        <v>0.64100000000000001</v>
      </c>
      <c r="J15" s="2">
        <v>0.26600000000000001</v>
      </c>
    </row>
    <row r="16" spans="1:10" x14ac:dyDescent="0.35">
      <c r="A16" s="2" t="s">
        <v>2474</v>
      </c>
      <c r="B16" s="2">
        <v>6.2720000000000002</v>
      </c>
      <c r="C16" s="3">
        <v>15035</v>
      </c>
      <c r="D16" s="2">
        <v>0.84499999999999997</v>
      </c>
      <c r="E16" s="2">
        <v>65.400000000000006</v>
      </c>
      <c r="F16" s="2">
        <v>0.82899999999999996</v>
      </c>
      <c r="G16" s="2">
        <v>0.318</v>
      </c>
      <c r="H16" s="2">
        <v>0.73899999999999999</v>
      </c>
      <c r="I16" s="2">
        <v>0.68</v>
      </c>
      <c r="J16" s="2">
        <v>0.35399999999999998</v>
      </c>
    </row>
    <row r="17" spans="1:10" x14ac:dyDescent="0.35">
      <c r="A17" s="2" t="s">
        <v>2475</v>
      </c>
      <c r="B17" s="2">
        <v>5.4630000000000001</v>
      </c>
      <c r="C17" s="3">
        <v>26639</v>
      </c>
      <c r="D17" s="2">
        <v>0.92300000000000004</v>
      </c>
      <c r="E17" s="2">
        <v>66.3</v>
      </c>
      <c r="F17" s="2">
        <v>0.78200000000000003</v>
      </c>
      <c r="G17" s="2">
        <v>0.26400000000000001</v>
      </c>
      <c r="H17" s="2">
        <v>0.92500000000000004</v>
      </c>
      <c r="I17" s="2">
        <v>0.59</v>
      </c>
      <c r="J17" s="2">
        <v>0.20399999999999999</v>
      </c>
    </row>
    <row r="18" spans="1:10" x14ac:dyDescent="0.35">
      <c r="A18" s="2" t="s">
        <v>2476</v>
      </c>
      <c r="B18" s="2">
        <v>4.548</v>
      </c>
      <c r="C18" s="3">
        <v>2186</v>
      </c>
      <c r="D18" s="2">
        <v>0.61799999999999999</v>
      </c>
      <c r="E18" s="2">
        <v>54.9</v>
      </c>
      <c r="F18" s="2">
        <v>0.68200000000000005</v>
      </c>
      <c r="G18" s="2">
        <v>0.27</v>
      </c>
      <c r="H18" s="2">
        <v>0.69</v>
      </c>
      <c r="I18" s="2">
        <v>0.63200000000000001</v>
      </c>
      <c r="J18" s="2">
        <v>0.35299999999999998</v>
      </c>
    </row>
    <row r="19" spans="1:10" x14ac:dyDescent="0.35">
      <c r="A19" s="2" t="s">
        <v>2477</v>
      </c>
      <c r="B19" s="2">
        <v>4.3410000000000002</v>
      </c>
      <c r="C19" s="3">
        <v>4538</v>
      </c>
      <c r="D19" s="2">
        <v>0.748</v>
      </c>
      <c r="E19" s="2">
        <v>61.5</v>
      </c>
      <c r="F19" s="2">
        <v>0.95799999999999996</v>
      </c>
      <c r="G19" s="2">
        <v>0.318</v>
      </c>
      <c r="H19" s="2">
        <v>0.83699999999999997</v>
      </c>
      <c r="I19" s="2">
        <v>0.73599999999999999</v>
      </c>
      <c r="J19" s="2">
        <v>0.39</v>
      </c>
    </row>
    <row r="20" spans="1:10" x14ac:dyDescent="0.35">
      <c r="A20" s="2" t="s">
        <v>2478</v>
      </c>
      <c r="B20" s="2">
        <v>4.8739999999999997</v>
      </c>
      <c r="C20" s="3">
        <v>3738</v>
      </c>
      <c r="D20" s="2">
        <v>0.68400000000000005</v>
      </c>
      <c r="E20" s="2">
        <v>54.5</v>
      </c>
      <c r="F20" s="2">
        <v>0.71</v>
      </c>
      <c r="G20" s="2">
        <v>0.21</v>
      </c>
      <c r="H20" s="2">
        <v>0.85099999999999998</v>
      </c>
      <c r="I20" s="2">
        <v>0.59699999999999998</v>
      </c>
      <c r="J20" s="2">
        <v>0.35399999999999998</v>
      </c>
    </row>
    <row r="21" spans="1:10" x14ac:dyDescent="0.35">
      <c r="A21" s="2" t="s">
        <v>2479</v>
      </c>
      <c r="B21" s="2">
        <v>6.9</v>
      </c>
      <c r="C21" s="3">
        <v>48637</v>
      </c>
      <c r="D21" s="2">
        <v>0.91900000000000004</v>
      </c>
      <c r="E21" s="2">
        <v>71.3</v>
      </c>
      <c r="F21" s="2">
        <v>0.86099999999999999</v>
      </c>
      <c r="G21" s="2">
        <v>0.60599999999999998</v>
      </c>
      <c r="H21" s="2">
        <v>0.432</v>
      </c>
      <c r="I21" s="2">
        <v>0.73599999999999999</v>
      </c>
      <c r="J21" s="2">
        <v>0.28899999999999998</v>
      </c>
    </row>
    <row r="22" spans="1:10" x14ac:dyDescent="0.35">
      <c r="A22" s="2" t="s">
        <v>2480</v>
      </c>
      <c r="B22" s="2">
        <v>4.4710000000000001</v>
      </c>
      <c r="C22" s="3">
        <v>1413</v>
      </c>
      <c r="D22" s="2">
        <v>0.66500000000000004</v>
      </c>
      <c r="E22" s="2">
        <v>52</v>
      </c>
      <c r="F22" s="2">
        <v>0.63</v>
      </c>
      <c r="G22" s="2">
        <v>0.33</v>
      </c>
      <c r="H22" s="2">
        <v>0.78</v>
      </c>
      <c r="I22" s="2">
        <v>0.56499999999999995</v>
      </c>
      <c r="J22" s="2">
        <v>0.48399999999999999</v>
      </c>
    </row>
    <row r="23" spans="1:10" x14ac:dyDescent="0.35">
      <c r="A23" s="2" t="s">
        <v>2481</v>
      </c>
      <c r="B23" s="2">
        <v>6.36</v>
      </c>
      <c r="C23" s="3">
        <v>25671</v>
      </c>
      <c r="D23" s="2">
        <v>0.88400000000000001</v>
      </c>
      <c r="E23" s="2">
        <v>70</v>
      </c>
      <c r="F23" s="2">
        <v>0.80400000000000005</v>
      </c>
      <c r="G23" s="2">
        <v>0.32800000000000001</v>
      </c>
      <c r="H23" s="2">
        <v>0.83099999999999996</v>
      </c>
      <c r="I23" s="2">
        <v>0.76300000000000001</v>
      </c>
      <c r="J23" s="2">
        <v>0.245</v>
      </c>
    </row>
    <row r="24" spans="1:10" x14ac:dyDescent="0.35">
      <c r="A24" s="2" t="s">
        <v>2482</v>
      </c>
      <c r="B24" s="2">
        <v>5.6950000000000003</v>
      </c>
      <c r="C24" s="3">
        <v>15356</v>
      </c>
      <c r="D24" s="2">
        <v>0.83399999999999996</v>
      </c>
      <c r="E24" s="2">
        <v>69</v>
      </c>
      <c r="F24" s="2">
        <v>0.79900000000000004</v>
      </c>
      <c r="G24" s="2">
        <v>0.19800000000000001</v>
      </c>
      <c r="H24" s="2">
        <v>0.85399999999999998</v>
      </c>
      <c r="I24" s="2">
        <v>0.75800000000000001</v>
      </c>
      <c r="J24" s="2">
        <v>0.312</v>
      </c>
    </row>
    <row r="25" spans="1:10" x14ac:dyDescent="0.35">
      <c r="A25" s="2" t="s">
        <v>2483</v>
      </c>
      <c r="B25" s="2">
        <v>3.5659999999999998</v>
      </c>
      <c r="C25" s="3">
        <v>3261</v>
      </c>
      <c r="D25" s="2">
        <v>0.47799999999999998</v>
      </c>
      <c r="E25" s="2">
        <v>58.9</v>
      </c>
      <c r="F25" s="2">
        <v>0.45600000000000002</v>
      </c>
      <c r="G25" s="2">
        <v>0.21</v>
      </c>
      <c r="H25" s="2">
        <v>0.71599999999999997</v>
      </c>
      <c r="I25" s="2">
        <v>0.56799999999999995</v>
      </c>
      <c r="J25" s="2">
        <v>0.378</v>
      </c>
    </row>
    <row r="26" spans="1:10" x14ac:dyDescent="0.35">
      <c r="A26" s="2" t="s">
        <v>2484</v>
      </c>
      <c r="B26" s="2">
        <v>5.2210000000000001</v>
      </c>
      <c r="C26" s="3">
        <v>3231</v>
      </c>
      <c r="D26" s="2">
        <v>0.59299999999999997</v>
      </c>
      <c r="E26" s="2">
        <v>56.2</v>
      </c>
      <c r="F26" s="2">
        <v>0.71099999999999997</v>
      </c>
      <c r="G26" s="2">
        <v>0.193</v>
      </c>
      <c r="H26" s="2">
        <v>0.746</v>
      </c>
      <c r="I26" s="2">
        <v>0.58099999999999996</v>
      </c>
      <c r="J26" s="2">
        <v>0.434</v>
      </c>
    </row>
    <row r="27" spans="1:10" x14ac:dyDescent="0.35">
      <c r="A27" s="2" t="s">
        <v>2485</v>
      </c>
      <c r="B27" s="2">
        <v>3.2949999999999999</v>
      </c>
      <c r="C27" s="3">
        <v>1158</v>
      </c>
      <c r="D27" s="2">
        <v>0.61</v>
      </c>
      <c r="E27" s="2">
        <v>54.1</v>
      </c>
      <c r="F27" s="2">
        <v>0.67400000000000004</v>
      </c>
      <c r="G27" s="2">
        <v>0.252</v>
      </c>
      <c r="H27" s="2">
        <v>0.83499999999999996</v>
      </c>
      <c r="I27" s="2">
        <v>0.55400000000000005</v>
      </c>
      <c r="J27" s="2">
        <v>0.47699999999999998</v>
      </c>
    </row>
    <row r="28" spans="1:10" x14ac:dyDescent="0.35">
      <c r="A28" s="2" t="s">
        <v>2486</v>
      </c>
      <c r="B28" s="2">
        <v>6.9550000000000001</v>
      </c>
      <c r="C28" s="3">
        <v>21882</v>
      </c>
      <c r="D28" s="2">
        <v>0.88600000000000001</v>
      </c>
      <c r="E28" s="2">
        <v>70</v>
      </c>
      <c r="F28" s="2">
        <v>0.90900000000000003</v>
      </c>
      <c r="G28" s="2">
        <v>0.29899999999999999</v>
      </c>
      <c r="H28" s="2">
        <v>0.76600000000000001</v>
      </c>
      <c r="I28" s="2">
        <v>0.79200000000000004</v>
      </c>
      <c r="J28" s="2">
        <v>0.28999999999999998</v>
      </c>
    </row>
    <row r="29" spans="1:10" x14ac:dyDescent="0.35">
      <c r="A29" s="2" t="s">
        <v>2487</v>
      </c>
      <c r="B29" s="2">
        <v>5.9420000000000002</v>
      </c>
      <c r="C29" s="3">
        <v>33562</v>
      </c>
      <c r="D29" s="2">
        <v>0.91400000000000003</v>
      </c>
      <c r="E29" s="2">
        <v>68.599999999999994</v>
      </c>
      <c r="F29" s="2">
        <v>0.67200000000000004</v>
      </c>
      <c r="G29" s="2">
        <v>0.24</v>
      </c>
      <c r="H29" s="2">
        <v>0.875</v>
      </c>
      <c r="I29" s="2">
        <v>0.61</v>
      </c>
      <c r="J29" s="2">
        <v>0.255</v>
      </c>
    </row>
    <row r="30" spans="1:10" x14ac:dyDescent="0.35">
      <c r="A30" s="2" t="s">
        <v>2488</v>
      </c>
      <c r="B30" s="2">
        <v>6.0679999999999996</v>
      </c>
      <c r="C30" s="3">
        <v>42647</v>
      </c>
      <c r="D30" s="2">
        <v>0.82499999999999996</v>
      </c>
      <c r="E30" s="2">
        <v>72.400000000000006</v>
      </c>
      <c r="F30" s="2">
        <v>0.71499999999999997</v>
      </c>
      <c r="G30" s="2">
        <v>0.38900000000000001</v>
      </c>
      <c r="H30" s="2">
        <v>0.86699999999999999</v>
      </c>
      <c r="I30" s="2">
        <v>0.66100000000000003</v>
      </c>
      <c r="J30" s="2">
        <v>0.29099999999999998</v>
      </c>
    </row>
    <row r="31" spans="1:10" x14ac:dyDescent="0.35">
      <c r="A31" s="2" t="s">
        <v>2489</v>
      </c>
      <c r="B31" s="2">
        <v>6.8220000000000001</v>
      </c>
      <c r="C31" s="3">
        <v>41371</v>
      </c>
      <c r="D31" s="2">
        <v>0.94</v>
      </c>
      <c r="E31" s="2">
        <v>68.8</v>
      </c>
      <c r="F31" s="2">
        <v>0.90200000000000002</v>
      </c>
      <c r="G31" s="2">
        <v>0.48599999999999999</v>
      </c>
      <c r="H31" s="2">
        <v>0.84099999999999997</v>
      </c>
      <c r="I31" s="2">
        <v>0.73599999999999999</v>
      </c>
      <c r="J31" s="2">
        <v>0.246</v>
      </c>
    </row>
    <row r="32" spans="1:10" x14ac:dyDescent="0.35">
      <c r="A32" s="2" t="s">
        <v>2490</v>
      </c>
      <c r="B32" s="2">
        <v>7.5830000000000002</v>
      </c>
      <c r="C32" s="3">
        <v>59100</v>
      </c>
      <c r="D32" s="2">
        <v>0.94399999999999995</v>
      </c>
      <c r="E32" s="2">
        <v>71</v>
      </c>
      <c r="F32" s="2">
        <v>0.92800000000000005</v>
      </c>
      <c r="G32" s="2">
        <v>0.56599999999999995</v>
      </c>
      <c r="H32" s="2">
        <v>0.186</v>
      </c>
      <c r="I32" s="2">
        <v>0.77800000000000002</v>
      </c>
      <c r="J32" s="2">
        <v>0.214</v>
      </c>
    </row>
    <row r="33" spans="1:10" x14ac:dyDescent="0.35">
      <c r="A33" s="2" t="s">
        <v>2491</v>
      </c>
      <c r="B33" s="2">
        <v>5.8230000000000004</v>
      </c>
      <c r="C33" s="3">
        <v>19295</v>
      </c>
      <c r="D33" s="2">
        <v>0.84599999999999997</v>
      </c>
      <c r="E33" s="2">
        <v>64</v>
      </c>
      <c r="F33" s="2">
        <v>0.86099999999999999</v>
      </c>
      <c r="G33" s="2">
        <v>0.245</v>
      </c>
      <c r="H33" s="2">
        <v>0.66700000000000004</v>
      </c>
      <c r="I33" s="2">
        <v>0.73199999999999998</v>
      </c>
      <c r="J33" s="2">
        <v>0.28000000000000003</v>
      </c>
    </row>
    <row r="34" spans="1:10" x14ac:dyDescent="0.35">
      <c r="A34" s="2" t="s">
        <v>2492</v>
      </c>
      <c r="B34" s="2">
        <v>5.7249999999999996</v>
      </c>
      <c r="C34" s="3">
        <v>10847</v>
      </c>
      <c r="D34" s="2">
        <v>0.79900000000000004</v>
      </c>
      <c r="E34" s="2">
        <v>68.5</v>
      </c>
      <c r="F34" s="2">
        <v>0.77100000000000002</v>
      </c>
      <c r="G34" s="2">
        <v>0.20399999999999999</v>
      </c>
      <c r="H34" s="2">
        <v>0.82699999999999996</v>
      </c>
      <c r="I34" s="2">
        <v>0.76100000000000001</v>
      </c>
      <c r="J34" s="2">
        <v>0.371</v>
      </c>
    </row>
    <row r="35" spans="1:10" x14ac:dyDescent="0.35">
      <c r="A35" s="2" t="s">
        <v>2493</v>
      </c>
      <c r="B35" s="2">
        <v>3.9769999999999999</v>
      </c>
      <c r="C35" s="3">
        <v>12679</v>
      </c>
      <c r="D35" s="2">
        <v>0.73899999999999999</v>
      </c>
      <c r="E35" s="2">
        <v>63</v>
      </c>
      <c r="F35" s="2">
        <v>0.68700000000000006</v>
      </c>
      <c r="G35" s="2">
        <v>8.8999999999999996E-2</v>
      </c>
      <c r="H35" s="2">
        <v>0.57999999999999996</v>
      </c>
      <c r="I35" s="2">
        <v>0.437</v>
      </c>
      <c r="J35" s="2">
        <v>0.32700000000000001</v>
      </c>
    </row>
    <row r="36" spans="1:10" x14ac:dyDescent="0.35">
      <c r="A36" s="2" t="s">
        <v>2494</v>
      </c>
      <c r="B36" s="2">
        <v>6.4690000000000003</v>
      </c>
      <c r="C36" s="3">
        <v>9391</v>
      </c>
      <c r="D36" s="2">
        <v>0.77200000000000002</v>
      </c>
      <c r="E36" s="2">
        <v>64.900000000000006</v>
      </c>
      <c r="F36" s="2">
        <v>0.92400000000000004</v>
      </c>
      <c r="G36" s="2">
        <v>0.182</v>
      </c>
      <c r="H36" s="2">
        <v>0.58899999999999997</v>
      </c>
      <c r="I36" s="2">
        <v>0.82399999999999995</v>
      </c>
      <c r="J36" s="2">
        <v>0.30099999999999999</v>
      </c>
    </row>
    <row r="37" spans="1:10" x14ac:dyDescent="0.35">
      <c r="A37" s="2" t="s">
        <v>2495</v>
      </c>
      <c r="B37" s="2">
        <v>6.4480000000000004</v>
      </c>
      <c r="C37" s="3">
        <v>37822</v>
      </c>
      <c r="D37" s="2">
        <v>0.94599999999999995</v>
      </c>
      <c r="E37" s="2">
        <v>69.2</v>
      </c>
      <c r="F37" s="2">
        <v>0.91600000000000004</v>
      </c>
      <c r="G37" s="2">
        <v>0.45800000000000002</v>
      </c>
      <c r="H37" s="2">
        <v>0.38600000000000001</v>
      </c>
      <c r="I37" s="2">
        <v>0.76500000000000001</v>
      </c>
      <c r="J37" s="2">
        <v>0.182</v>
      </c>
    </row>
    <row r="38" spans="1:10" x14ac:dyDescent="0.35">
      <c r="A38" s="2" t="s">
        <v>2496</v>
      </c>
      <c r="B38" s="2">
        <v>3.5019999999999998</v>
      </c>
      <c r="C38" s="3">
        <v>9132</v>
      </c>
      <c r="D38" s="2">
        <v>0.71099999999999997</v>
      </c>
      <c r="E38" s="2">
        <v>50.1</v>
      </c>
      <c r="F38" s="2">
        <v>0.53800000000000003</v>
      </c>
      <c r="G38" s="2">
        <v>0.13700000000000001</v>
      </c>
      <c r="H38" s="2">
        <v>0.77600000000000002</v>
      </c>
      <c r="I38" s="2">
        <v>0.66200000000000003</v>
      </c>
      <c r="J38" s="2">
        <v>0.39500000000000002</v>
      </c>
    </row>
    <row r="39" spans="1:10" x14ac:dyDescent="0.35">
      <c r="A39" s="2" t="s">
        <v>2497</v>
      </c>
      <c r="B39" s="2">
        <v>3.8610000000000002</v>
      </c>
      <c r="C39" s="3">
        <v>2422</v>
      </c>
      <c r="D39" s="2">
        <v>0.70699999999999996</v>
      </c>
      <c r="E39" s="2">
        <v>59.9</v>
      </c>
      <c r="F39" s="2">
        <v>0.65100000000000002</v>
      </c>
      <c r="G39" s="2">
        <v>0.47399999999999998</v>
      </c>
      <c r="H39" s="2">
        <v>0.79600000000000004</v>
      </c>
      <c r="I39" s="2">
        <v>0.55100000000000005</v>
      </c>
      <c r="J39" s="2">
        <v>0.315</v>
      </c>
    </row>
    <row r="40" spans="1:10" x14ac:dyDescent="0.35">
      <c r="A40" s="2" t="s">
        <v>2498</v>
      </c>
      <c r="B40" s="2">
        <v>7.7409999999999997</v>
      </c>
      <c r="C40" s="3">
        <v>49244</v>
      </c>
      <c r="D40" s="2">
        <v>0.96399999999999997</v>
      </c>
      <c r="E40" s="2">
        <v>71</v>
      </c>
      <c r="F40" s="2">
        <v>0.95499999999999996</v>
      </c>
      <c r="G40" s="2">
        <v>0.42499999999999999</v>
      </c>
      <c r="H40" s="2">
        <v>0.189</v>
      </c>
      <c r="I40" s="2">
        <v>0.73599999999999999</v>
      </c>
      <c r="J40" s="2">
        <v>0.18</v>
      </c>
    </row>
    <row r="41" spans="1:10" x14ac:dyDescent="0.35">
      <c r="A41" s="2" t="s">
        <v>2499</v>
      </c>
      <c r="B41" s="2">
        <v>6.609</v>
      </c>
      <c r="C41" s="3">
        <v>45750</v>
      </c>
      <c r="D41" s="2">
        <v>0.876</v>
      </c>
      <c r="E41" s="2">
        <v>72.099999999999994</v>
      </c>
      <c r="F41" s="2">
        <v>0.80300000000000005</v>
      </c>
      <c r="G41" s="2">
        <v>0.36</v>
      </c>
      <c r="H41" s="2">
        <v>0.55100000000000005</v>
      </c>
      <c r="I41" s="2">
        <v>0.68400000000000005</v>
      </c>
      <c r="J41" s="2">
        <v>0.249</v>
      </c>
    </row>
    <row r="42" spans="1:10" x14ac:dyDescent="0.35">
      <c r="A42" s="2" t="s">
        <v>2500</v>
      </c>
      <c r="B42" s="2">
        <v>5.1059999999999999</v>
      </c>
      <c r="C42" s="3">
        <v>13953</v>
      </c>
      <c r="D42" s="2">
        <v>0.755</v>
      </c>
      <c r="E42" s="2">
        <v>57.6</v>
      </c>
      <c r="F42" s="2">
        <v>0.70599999999999996</v>
      </c>
      <c r="G42" s="2">
        <v>0.13700000000000001</v>
      </c>
      <c r="H42" s="2">
        <v>0.79800000000000004</v>
      </c>
      <c r="I42" s="2">
        <v>0.63400000000000001</v>
      </c>
      <c r="J42" s="2">
        <v>0.39900000000000002</v>
      </c>
    </row>
    <row r="43" spans="1:10" x14ac:dyDescent="0.35">
      <c r="A43" s="2" t="s">
        <v>2501</v>
      </c>
      <c r="B43" s="2">
        <v>4.4850000000000003</v>
      </c>
      <c r="C43" s="3">
        <v>2152</v>
      </c>
      <c r="D43" s="2">
        <v>0.61699999999999999</v>
      </c>
      <c r="E43" s="2">
        <v>57</v>
      </c>
      <c r="F43" s="2">
        <v>0.66400000000000003</v>
      </c>
      <c r="G43" s="2">
        <v>0.57699999999999996</v>
      </c>
      <c r="H43" s="2">
        <v>0.86899999999999999</v>
      </c>
      <c r="I43" s="2">
        <v>0.72299999999999998</v>
      </c>
      <c r="J43" s="2">
        <v>0.36599999999999999</v>
      </c>
    </row>
    <row r="44" spans="1:10" x14ac:dyDescent="0.35">
      <c r="A44" s="2" t="s">
        <v>2502</v>
      </c>
      <c r="B44" s="2">
        <v>5.1849999999999996</v>
      </c>
      <c r="C44" s="3">
        <v>16733</v>
      </c>
      <c r="D44" s="2">
        <v>0.73699999999999999</v>
      </c>
      <c r="E44" s="2">
        <v>64.7</v>
      </c>
      <c r="F44" s="2">
        <v>0.82499999999999996</v>
      </c>
      <c r="G44" s="2">
        <v>5.7000000000000002E-2</v>
      </c>
      <c r="H44" s="2">
        <v>0.69599999999999995</v>
      </c>
      <c r="I44" s="2">
        <v>0.52</v>
      </c>
      <c r="J44" s="2">
        <v>0.23499999999999999</v>
      </c>
    </row>
    <row r="45" spans="1:10" x14ac:dyDescent="0.35">
      <c r="A45" s="2" t="s">
        <v>2503</v>
      </c>
      <c r="B45" s="2">
        <v>6.7190000000000003</v>
      </c>
      <c r="C45" s="3">
        <v>53243</v>
      </c>
      <c r="D45" s="2">
        <v>0.89300000000000002</v>
      </c>
      <c r="E45" s="2">
        <v>70.900000000000006</v>
      </c>
      <c r="F45" s="2">
        <v>0.83899999999999997</v>
      </c>
      <c r="G45" s="2">
        <v>0.498</v>
      </c>
      <c r="H45" s="2">
        <v>0.432</v>
      </c>
      <c r="I45" s="2">
        <v>0.69299999999999995</v>
      </c>
      <c r="J45" s="2">
        <v>0.22800000000000001</v>
      </c>
    </row>
    <row r="46" spans="1:10" x14ac:dyDescent="0.35">
      <c r="A46" s="2" t="s">
        <v>2504</v>
      </c>
      <c r="B46" s="2">
        <v>4.2889999999999997</v>
      </c>
      <c r="C46" s="3">
        <v>5474</v>
      </c>
      <c r="D46" s="2">
        <v>0.64200000000000002</v>
      </c>
      <c r="E46" s="2">
        <v>58</v>
      </c>
      <c r="F46" s="2">
        <v>0.78400000000000003</v>
      </c>
      <c r="G46" s="2">
        <v>0.35299999999999998</v>
      </c>
      <c r="H46" s="2">
        <v>0.89600000000000002</v>
      </c>
      <c r="I46" s="2">
        <v>0.61599999999999999</v>
      </c>
      <c r="J46" s="2">
        <v>0.28000000000000003</v>
      </c>
    </row>
    <row r="47" spans="1:10" x14ac:dyDescent="0.35">
      <c r="A47" s="2" t="s">
        <v>2505</v>
      </c>
      <c r="B47" s="2">
        <v>5.9340000000000002</v>
      </c>
      <c r="C47" s="3">
        <v>31139</v>
      </c>
      <c r="D47" s="2">
        <v>0.84799999999999998</v>
      </c>
      <c r="E47" s="2">
        <v>70.900000000000006</v>
      </c>
      <c r="F47" s="2">
        <v>0.57599999999999996</v>
      </c>
      <c r="G47" s="2">
        <v>0.13900000000000001</v>
      </c>
      <c r="H47" s="2">
        <v>0.80700000000000005</v>
      </c>
      <c r="I47" s="2">
        <v>0.60699999999999998</v>
      </c>
      <c r="J47" s="2">
        <v>0.26900000000000002</v>
      </c>
    </row>
    <row r="48" spans="1:10" x14ac:dyDescent="0.35">
      <c r="A48" s="2" t="s">
        <v>2506</v>
      </c>
      <c r="B48" s="2">
        <v>6.2869999999999999</v>
      </c>
      <c r="C48" s="3">
        <v>9243</v>
      </c>
      <c r="D48" s="2">
        <v>0.80600000000000005</v>
      </c>
      <c r="E48" s="2">
        <v>62.3</v>
      </c>
      <c r="F48" s="2">
        <v>0.86499999999999999</v>
      </c>
      <c r="G48" s="2">
        <v>0.22700000000000001</v>
      </c>
      <c r="H48" s="2">
        <v>0.82799999999999996</v>
      </c>
      <c r="I48" s="2">
        <v>0.84299999999999997</v>
      </c>
      <c r="J48" s="2">
        <v>0.28100000000000003</v>
      </c>
    </row>
    <row r="49" spans="1:10" x14ac:dyDescent="0.35">
      <c r="A49" s="2" t="s">
        <v>2507</v>
      </c>
      <c r="B49" s="2">
        <v>5.0229999999999997</v>
      </c>
      <c r="C49" s="3">
        <v>2708</v>
      </c>
      <c r="D49" s="2">
        <v>0.59299999999999997</v>
      </c>
      <c r="E49" s="2">
        <v>53.3</v>
      </c>
      <c r="F49" s="2">
        <v>0.71</v>
      </c>
      <c r="G49" s="2">
        <v>0.35599999999999998</v>
      </c>
      <c r="H49" s="2">
        <v>0.78700000000000003</v>
      </c>
      <c r="I49" s="2">
        <v>0.67200000000000004</v>
      </c>
      <c r="J49" s="2">
        <v>0.48799999999999999</v>
      </c>
    </row>
    <row r="50" spans="1:10" x14ac:dyDescent="0.35">
      <c r="A50" s="2" t="s">
        <v>2508</v>
      </c>
      <c r="B50" s="2">
        <v>5.968</v>
      </c>
      <c r="C50" s="3">
        <v>5701</v>
      </c>
      <c r="D50" s="2">
        <v>0.754</v>
      </c>
      <c r="E50" s="2">
        <v>63</v>
      </c>
      <c r="F50" s="2">
        <v>0.85399999999999998</v>
      </c>
      <c r="G50" s="2">
        <v>0.34</v>
      </c>
      <c r="H50" s="2">
        <v>0.82399999999999995</v>
      </c>
      <c r="I50" s="2">
        <v>0.78400000000000003</v>
      </c>
      <c r="J50" s="2">
        <v>0.28100000000000003</v>
      </c>
    </row>
    <row r="51" spans="1:10" x14ac:dyDescent="0.35">
      <c r="A51" s="2" t="s">
        <v>2509</v>
      </c>
      <c r="B51" s="2">
        <v>6.0170000000000003</v>
      </c>
      <c r="C51" s="3">
        <v>34732</v>
      </c>
      <c r="D51" s="2">
        <v>0.94699999999999995</v>
      </c>
      <c r="E51" s="2">
        <v>67.2</v>
      </c>
      <c r="F51" s="2">
        <v>0.753</v>
      </c>
      <c r="G51" s="2">
        <v>0.36099999999999999</v>
      </c>
      <c r="H51" s="2">
        <v>0.84199999999999997</v>
      </c>
      <c r="I51" s="2">
        <v>0.65800000000000003</v>
      </c>
      <c r="J51" s="2">
        <v>0.21</v>
      </c>
    </row>
    <row r="52" spans="1:10" x14ac:dyDescent="0.35">
      <c r="A52" s="2" t="s">
        <v>2510</v>
      </c>
      <c r="B52" s="2">
        <v>7.5250000000000004</v>
      </c>
      <c r="C52" s="3">
        <v>54692</v>
      </c>
      <c r="D52" s="2">
        <v>0.98099999999999998</v>
      </c>
      <c r="E52" s="2">
        <v>72</v>
      </c>
      <c r="F52" s="2">
        <v>0.92500000000000004</v>
      </c>
      <c r="G52" s="2">
        <v>0.67500000000000004</v>
      </c>
      <c r="H52" s="2">
        <v>0.68500000000000005</v>
      </c>
      <c r="I52" s="2">
        <v>0.79</v>
      </c>
      <c r="J52" s="2">
        <v>0.17499999999999999</v>
      </c>
    </row>
    <row r="53" spans="1:10" x14ac:dyDescent="0.35">
      <c r="A53" s="2" t="s">
        <v>2511</v>
      </c>
      <c r="B53" s="2">
        <v>4.0540000000000003</v>
      </c>
      <c r="C53" s="3">
        <v>7076</v>
      </c>
      <c r="D53" s="2">
        <v>0.60499999999999998</v>
      </c>
      <c r="E53" s="2">
        <v>60.3</v>
      </c>
      <c r="F53" s="2">
        <v>0.88800000000000001</v>
      </c>
      <c r="G53" s="2">
        <v>0.35399999999999998</v>
      </c>
      <c r="H53" s="2">
        <v>0.76700000000000002</v>
      </c>
      <c r="I53" s="2">
        <v>0.61699999999999999</v>
      </c>
      <c r="J53" s="2">
        <v>0.41399999999999998</v>
      </c>
    </row>
    <row r="54" spans="1:10" x14ac:dyDescent="0.35">
      <c r="A54" s="2" t="s">
        <v>2512</v>
      </c>
      <c r="B54" s="2">
        <v>5.5679999999999996</v>
      </c>
      <c r="C54" s="3">
        <v>12375</v>
      </c>
      <c r="D54" s="2">
        <v>0.81200000000000006</v>
      </c>
      <c r="E54" s="2">
        <v>62.8</v>
      </c>
      <c r="F54" s="2">
        <v>0.89700000000000002</v>
      </c>
      <c r="G54" s="2">
        <v>0.85699999999999998</v>
      </c>
      <c r="H54" s="2">
        <v>0.85899999999999999</v>
      </c>
      <c r="I54" s="2">
        <v>0.81200000000000006</v>
      </c>
      <c r="J54" s="2">
        <v>0.27600000000000002</v>
      </c>
    </row>
    <row r="55" spans="1:10" x14ac:dyDescent="0.35">
      <c r="A55" s="2" t="s">
        <v>2513</v>
      </c>
      <c r="B55" s="2">
        <v>4.923</v>
      </c>
      <c r="C55" s="3">
        <v>15281</v>
      </c>
      <c r="D55" s="2">
        <v>0.79400000000000004</v>
      </c>
      <c r="E55" s="2">
        <v>66.3</v>
      </c>
      <c r="F55" s="2">
        <v>0.59699999999999998</v>
      </c>
      <c r="G55" s="2">
        <v>0.53400000000000003</v>
      </c>
      <c r="H55" s="2">
        <v>0.76500000000000001</v>
      </c>
      <c r="I55" s="2">
        <v>0.52300000000000002</v>
      </c>
      <c r="J55" s="2">
        <v>0.439</v>
      </c>
    </row>
    <row r="56" spans="1:10" x14ac:dyDescent="0.35">
      <c r="A56" s="2" t="s">
        <v>2514</v>
      </c>
      <c r="B56" s="2">
        <v>5.1660000000000004</v>
      </c>
      <c r="C56" s="3">
        <v>8961</v>
      </c>
      <c r="D56" s="2">
        <v>0.73899999999999999</v>
      </c>
      <c r="E56" s="2">
        <v>62.7</v>
      </c>
      <c r="F56" s="2">
        <v>0.63900000000000001</v>
      </c>
      <c r="G56" s="2">
        <v>0.30299999999999999</v>
      </c>
      <c r="H56" s="2">
        <v>0.86899999999999999</v>
      </c>
      <c r="I56" s="2">
        <v>0.57599999999999996</v>
      </c>
      <c r="J56" s="2">
        <v>0.48199999999999998</v>
      </c>
    </row>
    <row r="57" spans="1:10" x14ac:dyDescent="0.35">
      <c r="A57" s="2" t="s">
        <v>2515</v>
      </c>
      <c r="B57" s="2">
        <v>6.8380000000000001</v>
      </c>
      <c r="C57" s="3">
        <v>111256</v>
      </c>
      <c r="D57" s="2">
        <v>0.89300000000000002</v>
      </c>
      <c r="E57" s="2">
        <v>71.099999999999994</v>
      </c>
      <c r="F57" s="2">
        <v>0.88100000000000001</v>
      </c>
      <c r="G57" s="2">
        <v>0.61399999999999999</v>
      </c>
      <c r="H57" s="2">
        <v>0.36399999999999999</v>
      </c>
      <c r="I57" s="2">
        <v>0.73699999999999999</v>
      </c>
      <c r="J57" s="2">
        <v>0.24199999999999999</v>
      </c>
    </row>
    <row r="58" spans="1:10" x14ac:dyDescent="0.35">
      <c r="A58" s="2" t="s">
        <v>2516</v>
      </c>
      <c r="B58" s="2">
        <v>7.3410000000000002</v>
      </c>
      <c r="C58" s="3">
        <v>43776</v>
      </c>
      <c r="D58" s="2">
        <v>0.94099999999999995</v>
      </c>
      <c r="E58" s="2">
        <v>72.400000000000006</v>
      </c>
      <c r="F58" s="2">
        <v>0.79700000000000004</v>
      </c>
      <c r="G58" s="2">
        <v>0.44</v>
      </c>
      <c r="H58" s="2">
        <v>0.67100000000000004</v>
      </c>
      <c r="I58" s="2">
        <v>0.54200000000000004</v>
      </c>
      <c r="J58" s="2">
        <v>0.30399999999999999</v>
      </c>
    </row>
    <row r="59" spans="1:10" x14ac:dyDescent="0.35">
      <c r="A59" s="2" t="s">
        <v>2517</v>
      </c>
      <c r="B59" s="2">
        <v>6.3239999999999998</v>
      </c>
      <c r="C59" s="3">
        <v>43429</v>
      </c>
      <c r="D59" s="2">
        <v>0.86899999999999999</v>
      </c>
      <c r="E59" s="2">
        <v>71.900000000000006</v>
      </c>
      <c r="F59" s="2">
        <v>0.70399999999999996</v>
      </c>
      <c r="G59" s="2">
        <v>0.35599999999999998</v>
      </c>
      <c r="H59" s="2">
        <v>0.83299999999999996</v>
      </c>
      <c r="I59" s="2">
        <v>0.63200000000000001</v>
      </c>
      <c r="J59" s="2">
        <v>0.30299999999999999</v>
      </c>
    </row>
    <row r="60" spans="1:10" x14ac:dyDescent="0.35">
      <c r="A60" s="2" t="s">
        <v>2518</v>
      </c>
      <c r="B60" s="2">
        <v>5.08</v>
      </c>
      <c r="C60" s="3">
        <v>5531</v>
      </c>
      <c r="D60" s="2">
        <v>0.57599999999999996</v>
      </c>
      <c r="E60" s="2">
        <v>54.8</v>
      </c>
      <c r="F60" s="2">
        <v>0.72799999999999998</v>
      </c>
      <c r="G60" s="2">
        <v>0.223</v>
      </c>
      <c r="H60" s="2">
        <v>0.71</v>
      </c>
      <c r="I60" s="2">
        <v>0.64300000000000002</v>
      </c>
      <c r="J60" s="2">
        <v>0.34699999999999998</v>
      </c>
    </row>
    <row r="61" spans="1:10" x14ac:dyDescent="0.35">
      <c r="A61" s="2" t="s">
        <v>2519</v>
      </c>
      <c r="B61" s="2">
        <v>5.8419999999999996</v>
      </c>
      <c r="C61" s="3">
        <v>9806</v>
      </c>
      <c r="D61" s="2">
        <v>0.86699999999999999</v>
      </c>
      <c r="E61" s="2">
        <v>66.599999999999994</v>
      </c>
      <c r="F61" s="2">
        <v>0.80100000000000005</v>
      </c>
      <c r="G61" s="2">
        <v>0.20300000000000001</v>
      </c>
      <c r="H61" s="2">
        <v>0.89500000000000002</v>
      </c>
      <c r="I61" s="2">
        <v>0.70199999999999996</v>
      </c>
      <c r="J61" s="2">
        <v>0.28899999999999998</v>
      </c>
    </row>
    <row r="62" spans="1:10" x14ac:dyDescent="0.35">
      <c r="A62" s="2" t="s">
        <v>2520</v>
      </c>
      <c r="B62" s="2">
        <v>6.06</v>
      </c>
      <c r="C62" s="3">
        <v>41672</v>
      </c>
      <c r="D62" s="2">
        <v>0.879</v>
      </c>
      <c r="E62" s="2">
        <v>74.099999999999994</v>
      </c>
      <c r="F62" s="2">
        <v>0.79</v>
      </c>
      <c r="G62" s="2">
        <v>0.16900000000000001</v>
      </c>
      <c r="H62" s="2">
        <v>0.63500000000000001</v>
      </c>
      <c r="I62" s="2">
        <v>0.66200000000000003</v>
      </c>
      <c r="J62" s="2">
        <v>0.17699999999999999</v>
      </c>
    </row>
    <row r="63" spans="1:10" x14ac:dyDescent="0.35">
      <c r="A63" s="2" t="s">
        <v>2521</v>
      </c>
      <c r="B63" s="2">
        <v>4.1859999999999999</v>
      </c>
      <c r="C63" s="3">
        <v>9316</v>
      </c>
      <c r="D63" s="2">
        <v>0.73399999999999999</v>
      </c>
      <c r="E63" s="2">
        <v>67.599999999999994</v>
      </c>
      <c r="F63" s="2">
        <v>0.76200000000000001</v>
      </c>
      <c r="G63" s="2">
        <v>0.13700000000000001</v>
      </c>
      <c r="H63" s="2">
        <v>0.67500000000000004</v>
      </c>
      <c r="I63" s="2">
        <v>0.50700000000000001</v>
      </c>
      <c r="J63" s="2">
        <v>0.435</v>
      </c>
    </row>
    <row r="64" spans="1:10" x14ac:dyDescent="0.35">
      <c r="A64" s="2" t="s">
        <v>2522</v>
      </c>
      <c r="B64" s="2">
        <v>6.1879999999999997</v>
      </c>
      <c r="C64" s="3">
        <v>26119</v>
      </c>
      <c r="D64" s="2">
        <v>0.91900000000000004</v>
      </c>
      <c r="E64" s="2">
        <v>65</v>
      </c>
      <c r="F64" s="2">
        <v>0.86299999999999999</v>
      </c>
      <c r="G64" s="2">
        <v>0.39800000000000002</v>
      </c>
      <c r="H64" s="2">
        <v>0.77</v>
      </c>
      <c r="I64" s="2">
        <v>0.64800000000000002</v>
      </c>
      <c r="J64" s="2">
        <v>0.123</v>
      </c>
    </row>
    <row r="65" spans="1:10" x14ac:dyDescent="0.35">
      <c r="A65" s="2" t="s">
        <v>2523</v>
      </c>
      <c r="B65" s="2">
        <v>4.47</v>
      </c>
      <c r="C65" s="3">
        <v>4885</v>
      </c>
      <c r="D65" s="2">
        <v>0.7</v>
      </c>
      <c r="E65" s="2">
        <v>57.7</v>
      </c>
      <c r="F65" s="2">
        <v>0.70799999999999996</v>
      </c>
      <c r="G65" s="2">
        <v>0.54700000000000004</v>
      </c>
      <c r="H65" s="2">
        <v>0.84</v>
      </c>
      <c r="I65" s="2">
        <v>0.74199999999999999</v>
      </c>
      <c r="J65" s="2">
        <v>0.25900000000000001</v>
      </c>
    </row>
    <row r="66" spans="1:10" x14ac:dyDescent="0.35">
      <c r="A66" s="2" t="s">
        <v>2524</v>
      </c>
      <c r="B66" s="2">
        <v>5.7140000000000004</v>
      </c>
      <c r="C66" s="3">
        <v>5137</v>
      </c>
      <c r="D66" s="2">
        <v>0.92700000000000005</v>
      </c>
      <c r="E66" s="2">
        <v>65.8</v>
      </c>
      <c r="F66" s="2">
        <v>0.93700000000000006</v>
      </c>
      <c r="G66" s="2">
        <v>0.436</v>
      </c>
      <c r="H66" s="2">
        <v>0.89300000000000002</v>
      </c>
      <c r="I66" s="2">
        <v>0.66300000000000003</v>
      </c>
      <c r="J66" s="2">
        <v>0.19800000000000001</v>
      </c>
    </row>
    <row r="67" spans="1:10" x14ac:dyDescent="0.35">
      <c r="A67" s="2" t="s">
        <v>2525</v>
      </c>
      <c r="B67" s="2">
        <v>5.1390000000000002</v>
      </c>
      <c r="C67" s="3">
        <v>7986</v>
      </c>
      <c r="D67" s="2">
        <v>0.68100000000000005</v>
      </c>
      <c r="E67" s="2">
        <v>60.5</v>
      </c>
      <c r="F67" s="2">
        <v>0.90900000000000003</v>
      </c>
      <c r="G67" s="2">
        <v>0.35699999999999998</v>
      </c>
      <c r="H67" s="2">
        <v>0.70699999999999996</v>
      </c>
      <c r="I67" s="2">
        <v>0.7</v>
      </c>
      <c r="J67" s="2">
        <v>0.317</v>
      </c>
    </row>
    <row r="68" spans="1:10" x14ac:dyDescent="0.35">
      <c r="A68" s="2" t="s">
        <v>2526</v>
      </c>
      <c r="B68" s="2">
        <v>6.234</v>
      </c>
      <c r="C68" s="3">
        <v>32633</v>
      </c>
      <c r="D68" s="2">
        <v>0.93899999999999995</v>
      </c>
      <c r="E68" s="2">
        <v>66.2</v>
      </c>
      <c r="F68" s="2">
        <v>0.81499999999999995</v>
      </c>
      <c r="G68" s="2">
        <v>0.36399999999999999</v>
      </c>
      <c r="H68" s="2">
        <v>0.82699999999999996</v>
      </c>
      <c r="I68" s="2">
        <v>0.67200000000000004</v>
      </c>
      <c r="J68" s="2">
        <v>0.2</v>
      </c>
    </row>
    <row r="69" spans="1:10" x14ac:dyDescent="0.35">
      <c r="A69" s="2" t="s">
        <v>2527</v>
      </c>
      <c r="B69" s="2">
        <v>2.7069999999999999</v>
      </c>
      <c r="C69" s="3">
        <v>12926</v>
      </c>
      <c r="D69" s="2">
        <v>0.57499999999999996</v>
      </c>
      <c r="E69" s="2">
        <v>66</v>
      </c>
      <c r="F69" s="2">
        <v>0.45700000000000002</v>
      </c>
      <c r="G69" s="2">
        <v>0.17699999999999999</v>
      </c>
      <c r="H69" s="2">
        <v>0.89400000000000002</v>
      </c>
      <c r="I69" s="2">
        <v>0.311</v>
      </c>
      <c r="J69" s="2">
        <v>0.46100000000000002</v>
      </c>
    </row>
    <row r="70" spans="1:10" x14ac:dyDescent="0.35">
      <c r="A70" s="2" t="s">
        <v>2528</v>
      </c>
      <c r="B70" s="2">
        <v>3.1859999999999999</v>
      </c>
      <c r="C70" s="3">
        <v>2282</v>
      </c>
      <c r="D70" s="2">
        <v>0.68200000000000005</v>
      </c>
      <c r="E70" s="2">
        <v>44.2</v>
      </c>
      <c r="F70" s="2">
        <v>0.71099999999999997</v>
      </c>
      <c r="G70" s="2">
        <v>8.3000000000000004E-2</v>
      </c>
      <c r="H70" s="2">
        <v>0.81799999999999995</v>
      </c>
      <c r="I70" s="2">
        <v>0.70899999999999996</v>
      </c>
      <c r="J70" s="2">
        <v>0.28799999999999998</v>
      </c>
    </row>
    <row r="71" spans="1:10" x14ac:dyDescent="0.35">
      <c r="A71" s="2" t="s">
        <v>2529</v>
      </c>
      <c r="B71" s="2">
        <v>4.2690000000000001</v>
      </c>
      <c r="C71" s="3">
        <v>1477</v>
      </c>
      <c r="D71" s="2">
        <v>0.61299999999999999</v>
      </c>
      <c r="E71" s="2">
        <v>54.9</v>
      </c>
      <c r="F71" s="2">
        <v>0.72699999999999998</v>
      </c>
      <c r="G71" s="2">
        <v>0.248</v>
      </c>
      <c r="H71" s="2">
        <v>0.83199999999999996</v>
      </c>
      <c r="I71" s="2">
        <v>0.623</v>
      </c>
      <c r="J71" s="2">
        <v>0.433</v>
      </c>
    </row>
    <row r="72" spans="1:10" x14ac:dyDescent="0.35">
      <c r="A72" s="2" t="s">
        <v>2530</v>
      </c>
      <c r="B72" s="2">
        <v>5.8659999999999997</v>
      </c>
      <c r="C72" s="3">
        <v>19797</v>
      </c>
      <c r="D72" s="2">
        <v>0.77900000000000003</v>
      </c>
      <c r="E72" s="2">
        <v>65.2</v>
      </c>
      <c r="F72" s="2">
        <v>0.76100000000000001</v>
      </c>
      <c r="G72" s="2">
        <v>0.32100000000000001</v>
      </c>
      <c r="H72" s="2">
        <v>0.65600000000000003</v>
      </c>
      <c r="I72" s="2">
        <v>0.60599999999999998</v>
      </c>
      <c r="J72" s="2">
        <v>0.38600000000000001</v>
      </c>
    </row>
    <row r="73" spans="1:10" x14ac:dyDescent="0.35">
      <c r="A73" s="2" t="s">
        <v>2531</v>
      </c>
      <c r="B73" s="2">
        <v>6.8179999999999996</v>
      </c>
      <c r="C73" s="3">
        <v>39349</v>
      </c>
      <c r="D73" s="2">
        <v>0.91700000000000004</v>
      </c>
      <c r="E73" s="2">
        <v>66.7</v>
      </c>
      <c r="F73" s="2">
        <v>0.71799999999999997</v>
      </c>
      <c r="G73" s="2">
        <v>0.21099999999999999</v>
      </c>
      <c r="H73" s="2">
        <v>0.77600000000000002</v>
      </c>
      <c r="I73" s="2">
        <v>0.54900000000000004</v>
      </c>
      <c r="J73" s="2">
        <v>0.17699999999999999</v>
      </c>
    </row>
    <row r="74" spans="1:10" x14ac:dyDescent="0.35">
      <c r="A74" s="2" t="s">
        <v>2532</v>
      </c>
      <c r="B74" s="2">
        <v>7.1219999999999999</v>
      </c>
      <c r="C74" s="3">
        <v>115041</v>
      </c>
      <c r="D74" s="2">
        <v>0.879</v>
      </c>
      <c r="E74" s="2">
        <v>71.599999999999994</v>
      </c>
      <c r="F74" s="2">
        <v>0.91300000000000003</v>
      </c>
      <c r="G74" s="2">
        <v>0.495</v>
      </c>
      <c r="H74" s="2">
        <v>0.34399999999999997</v>
      </c>
      <c r="I74" s="2">
        <v>0.73499999999999999</v>
      </c>
      <c r="J74" s="2">
        <v>0.20599999999999999</v>
      </c>
    </row>
    <row r="75" spans="1:10" x14ac:dyDescent="0.35">
      <c r="A75" s="2" t="s">
        <v>2533</v>
      </c>
      <c r="B75" s="2">
        <v>4.2279999999999998</v>
      </c>
      <c r="C75" s="3">
        <v>1516</v>
      </c>
      <c r="D75" s="2">
        <v>0.67200000000000004</v>
      </c>
      <c r="E75" s="2">
        <v>57.3</v>
      </c>
      <c r="F75" s="2">
        <v>0.51300000000000001</v>
      </c>
      <c r="G75" s="2">
        <v>0.23499999999999999</v>
      </c>
      <c r="H75" s="2">
        <v>0.76600000000000001</v>
      </c>
      <c r="I75" s="2">
        <v>0.70699999999999996</v>
      </c>
      <c r="J75" s="2">
        <v>0.36599999999999999</v>
      </c>
    </row>
    <row r="76" spans="1:10" x14ac:dyDescent="0.35">
      <c r="A76" s="2" t="s">
        <v>2534</v>
      </c>
      <c r="B76" s="2">
        <v>3.4209999999999998</v>
      </c>
      <c r="C76" s="3">
        <v>1469</v>
      </c>
      <c r="D76" s="2">
        <v>0.51</v>
      </c>
      <c r="E76" s="2">
        <v>57.1</v>
      </c>
      <c r="F76" s="2">
        <v>0.746</v>
      </c>
      <c r="G76" s="2">
        <v>0.161</v>
      </c>
      <c r="H76" s="2">
        <v>0.749</v>
      </c>
      <c r="I76" s="2">
        <v>0.53500000000000003</v>
      </c>
      <c r="J76" s="2">
        <v>0.33200000000000002</v>
      </c>
    </row>
    <row r="77" spans="1:10" x14ac:dyDescent="0.35">
      <c r="A77" s="2" t="s">
        <v>2535</v>
      </c>
      <c r="B77" s="2">
        <v>5.9749999999999996</v>
      </c>
      <c r="C77" s="3">
        <v>27926</v>
      </c>
      <c r="D77" s="2">
        <v>0.79600000000000004</v>
      </c>
      <c r="E77" s="2">
        <v>65.7</v>
      </c>
      <c r="F77" s="2">
        <v>0.93300000000000005</v>
      </c>
      <c r="G77" s="2">
        <v>0.55800000000000005</v>
      </c>
      <c r="H77" s="2">
        <v>0.77100000000000002</v>
      </c>
      <c r="I77" s="2">
        <v>0.752</v>
      </c>
      <c r="J77" s="2">
        <v>0.189</v>
      </c>
    </row>
    <row r="78" spans="1:10" x14ac:dyDescent="0.35">
      <c r="A78" s="2" t="s">
        <v>2536</v>
      </c>
      <c r="B78" s="2">
        <v>4.2320000000000002</v>
      </c>
      <c r="C78" s="3">
        <v>2134</v>
      </c>
      <c r="D78" s="2">
        <v>0.61899999999999999</v>
      </c>
      <c r="E78" s="2">
        <v>54.6</v>
      </c>
      <c r="F78" s="2">
        <v>0.75600000000000001</v>
      </c>
      <c r="G78" s="2">
        <v>0.157</v>
      </c>
      <c r="H78" s="2">
        <v>0.81200000000000006</v>
      </c>
      <c r="I78" s="2">
        <v>0.65200000000000002</v>
      </c>
      <c r="J78" s="2">
        <v>0.38800000000000001</v>
      </c>
    </row>
    <row r="79" spans="1:10" x14ac:dyDescent="0.35">
      <c r="A79" s="2" t="s">
        <v>2537</v>
      </c>
      <c r="B79" s="2">
        <v>6.3460000000000001</v>
      </c>
      <c r="C79" s="3">
        <v>46889</v>
      </c>
      <c r="D79" s="2">
        <v>0.91400000000000003</v>
      </c>
      <c r="E79" s="2">
        <v>71.5</v>
      </c>
      <c r="F79" s="2">
        <v>0.85899999999999999</v>
      </c>
      <c r="G79" s="2">
        <v>0.67800000000000005</v>
      </c>
      <c r="H79" s="2">
        <v>0.76400000000000001</v>
      </c>
      <c r="I79" s="2">
        <v>0.65</v>
      </c>
      <c r="J79" s="2">
        <v>0.36899999999999999</v>
      </c>
    </row>
    <row r="80" spans="1:10" x14ac:dyDescent="0.35">
      <c r="A80" s="2" t="s">
        <v>2538</v>
      </c>
      <c r="B80" s="2">
        <v>4.5049999999999999</v>
      </c>
      <c r="C80" s="3">
        <v>5492</v>
      </c>
      <c r="D80" s="2">
        <v>0.625</v>
      </c>
      <c r="E80" s="2">
        <v>59.8</v>
      </c>
      <c r="F80" s="2">
        <v>0.57999999999999996</v>
      </c>
      <c r="G80" s="2">
        <v>0.249</v>
      </c>
      <c r="H80" s="2">
        <v>0.66300000000000003</v>
      </c>
      <c r="I80" s="2">
        <v>0.67100000000000004</v>
      </c>
      <c r="J80" s="2">
        <v>0.36</v>
      </c>
    </row>
    <row r="81" spans="1:10" x14ac:dyDescent="0.35">
      <c r="A81" s="2" t="s">
        <v>2539</v>
      </c>
      <c r="B81" s="2">
        <v>5.8159999999999998</v>
      </c>
      <c r="C81" s="3">
        <v>22502</v>
      </c>
      <c r="D81" s="2">
        <v>0.88</v>
      </c>
      <c r="E81" s="2">
        <v>63.9</v>
      </c>
      <c r="F81" s="2">
        <v>0.79600000000000004</v>
      </c>
      <c r="G81" s="2">
        <v>0.32900000000000001</v>
      </c>
      <c r="H81" s="2">
        <v>0.77300000000000002</v>
      </c>
      <c r="I81" s="2">
        <v>0.68600000000000005</v>
      </c>
      <c r="J81" s="2">
        <v>0.155</v>
      </c>
    </row>
    <row r="82" spans="1:10" x14ac:dyDescent="0.35">
      <c r="A82" s="2" t="s">
        <v>2540</v>
      </c>
      <c r="B82" s="2">
        <v>6.6779999999999999</v>
      </c>
      <c r="C82" s="3">
        <v>19520</v>
      </c>
      <c r="D82" s="2">
        <v>0.83499999999999996</v>
      </c>
      <c r="E82" s="2">
        <v>65.8</v>
      </c>
      <c r="F82" s="2">
        <v>0.85499999999999998</v>
      </c>
      <c r="G82" s="2">
        <v>0.245</v>
      </c>
      <c r="H82" s="2">
        <v>0.76100000000000001</v>
      </c>
      <c r="I82" s="2">
        <v>0.79300000000000004</v>
      </c>
      <c r="J82" s="2">
        <v>0.248</v>
      </c>
    </row>
    <row r="83" spans="1:10" x14ac:dyDescent="0.35">
      <c r="A83" s="2" t="s">
        <v>2541</v>
      </c>
      <c r="B83" s="2">
        <v>5.8159999999999998</v>
      </c>
      <c r="C83" s="3">
        <v>13250</v>
      </c>
      <c r="D83" s="2">
        <v>0.84899999999999998</v>
      </c>
      <c r="E83" s="2">
        <v>64.5</v>
      </c>
      <c r="F83" s="2">
        <v>0.83599999999999997</v>
      </c>
      <c r="G83" s="2">
        <v>0.20100000000000001</v>
      </c>
      <c r="H83" s="2">
        <v>0.873</v>
      </c>
      <c r="I83" s="2">
        <v>0.59</v>
      </c>
      <c r="J83" s="2">
        <v>0.26300000000000001</v>
      </c>
    </row>
    <row r="84" spans="1:10" x14ac:dyDescent="0.35">
      <c r="A84" s="2" t="s">
        <v>2542</v>
      </c>
      <c r="B84" s="2">
        <v>5.6959999999999997</v>
      </c>
      <c r="C84" s="3">
        <v>12067</v>
      </c>
      <c r="D84" s="2">
        <v>0.94</v>
      </c>
      <c r="E84" s="2">
        <v>60.3</v>
      </c>
      <c r="F84" s="2">
        <v>0.69499999999999995</v>
      </c>
      <c r="G84" s="2">
        <v>0.52100000000000002</v>
      </c>
      <c r="H84" s="2">
        <v>0.85799999999999998</v>
      </c>
      <c r="I84" s="2">
        <v>0.55300000000000005</v>
      </c>
      <c r="J84" s="2">
        <v>0.20300000000000001</v>
      </c>
    </row>
    <row r="85" spans="1:10" x14ac:dyDescent="0.35">
      <c r="A85" s="2" t="s">
        <v>2543</v>
      </c>
      <c r="B85" s="2">
        <v>5.7069999999999999</v>
      </c>
      <c r="C85" s="3">
        <v>22509</v>
      </c>
      <c r="D85" s="2">
        <v>0.86499999999999999</v>
      </c>
      <c r="E85" s="2">
        <v>67</v>
      </c>
      <c r="F85" s="2">
        <v>0.79</v>
      </c>
      <c r="G85" s="2">
        <v>0.307</v>
      </c>
      <c r="H85" s="2">
        <v>0.754</v>
      </c>
      <c r="I85" s="2">
        <v>0.48299999999999998</v>
      </c>
      <c r="J85" s="2">
        <v>0.317</v>
      </c>
    </row>
    <row r="86" spans="1:10" x14ac:dyDescent="0.35">
      <c r="A86" s="2" t="s">
        <v>2544</v>
      </c>
      <c r="B86" s="2">
        <v>4.7949999999999999</v>
      </c>
      <c r="C86" s="3">
        <v>8101</v>
      </c>
      <c r="D86" s="2">
        <v>0.53400000000000003</v>
      </c>
      <c r="E86" s="2">
        <v>63.7</v>
      </c>
      <c r="F86" s="2">
        <v>0.78900000000000003</v>
      </c>
      <c r="G86" s="2">
        <v>9.4E-2</v>
      </c>
      <c r="H86" s="2">
        <v>0.82199999999999995</v>
      </c>
      <c r="I86" s="2">
        <v>0.56200000000000006</v>
      </c>
      <c r="J86" s="2">
        <v>0.38900000000000001</v>
      </c>
    </row>
    <row r="87" spans="1:10" x14ac:dyDescent="0.35">
      <c r="A87" s="2" t="s">
        <v>2545</v>
      </c>
      <c r="B87" s="2">
        <v>5.2160000000000002</v>
      </c>
      <c r="C87" s="3">
        <v>1247</v>
      </c>
      <c r="D87" s="2">
        <v>0.69499999999999995</v>
      </c>
      <c r="E87" s="2">
        <v>50.4</v>
      </c>
      <c r="F87" s="2">
        <v>0.86</v>
      </c>
      <c r="G87" s="2">
        <v>0.19500000000000001</v>
      </c>
      <c r="H87" s="2">
        <v>0.66600000000000004</v>
      </c>
      <c r="I87" s="2">
        <v>0.61499999999999999</v>
      </c>
      <c r="J87" s="2">
        <v>0.35</v>
      </c>
    </row>
    <row r="88" spans="1:10" x14ac:dyDescent="0.35">
      <c r="A88" s="2" t="s">
        <v>2546</v>
      </c>
      <c r="B88" s="2">
        <v>4.3540000000000001</v>
      </c>
      <c r="C88" s="3">
        <v>4125</v>
      </c>
      <c r="D88" s="2">
        <v>0.73599999999999999</v>
      </c>
      <c r="E88" s="2">
        <v>60.9</v>
      </c>
      <c r="F88" s="2">
        <v>0.65800000000000003</v>
      </c>
      <c r="G88" s="2">
        <v>0.77900000000000003</v>
      </c>
      <c r="H88" s="2">
        <v>0.69599999999999995</v>
      </c>
      <c r="I88" s="2">
        <v>0.64700000000000002</v>
      </c>
      <c r="J88" s="2">
        <v>0.32800000000000001</v>
      </c>
    </row>
    <row r="89" spans="1:10" x14ac:dyDescent="0.35">
      <c r="A89" s="2" t="s">
        <v>2547</v>
      </c>
      <c r="B89" s="2">
        <v>4.8319999999999999</v>
      </c>
      <c r="C89" s="3">
        <v>9425</v>
      </c>
      <c r="D89" s="2">
        <v>0.82299999999999995</v>
      </c>
      <c r="E89" s="2">
        <v>56.1</v>
      </c>
      <c r="F89" s="2">
        <v>0.67200000000000004</v>
      </c>
      <c r="G89" s="2">
        <v>0.158</v>
      </c>
      <c r="H89" s="2">
        <v>0.85</v>
      </c>
      <c r="I89" s="2">
        <v>0.65100000000000002</v>
      </c>
      <c r="J89" s="2">
        <v>0.23300000000000001</v>
      </c>
    </row>
    <row r="90" spans="1:10" x14ac:dyDescent="0.35">
      <c r="A90" s="2" t="s">
        <v>2548</v>
      </c>
      <c r="B90" s="2">
        <v>5.1580000000000004</v>
      </c>
      <c r="C90" s="3">
        <v>3983</v>
      </c>
      <c r="D90" s="2">
        <v>0.73699999999999999</v>
      </c>
      <c r="E90" s="2">
        <v>61.3</v>
      </c>
      <c r="F90" s="2">
        <v>0.80500000000000005</v>
      </c>
      <c r="G90" s="2">
        <v>0.38500000000000001</v>
      </c>
      <c r="H90" s="2">
        <v>0.77700000000000002</v>
      </c>
      <c r="I90" s="2">
        <v>0.45</v>
      </c>
      <c r="J90" s="2">
        <v>0.34599999999999997</v>
      </c>
    </row>
    <row r="91" spans="1:10" x14ac:dyDescent="0.35">
      <c r="A91" s="2" t="s">
        <v>2549</v>
      </c>
      <c r="B91" s="2">
        <v>7.319</v>
      </c>
      <c r="C91" s="3">
        <v>57904</v>
      </c>
      <c r="D91" s="2">
        <v>0.92100000000000004</v>
      </c>
      <c r="E91" s="2">
        <v>71.400000000000006</v>
      </c>
      <c r="F91" s="2">
        <v>0.85799999999999998</v>
      </c>
      <c r="G91" s="2">
        <v>0.65400000000000003</v>
      </c>
      <c r="H91" s="2">
        <v>0.42599999999999999</v>
      </c>
      <c r="I91" s="2">
        <v>0.70599999999999996</v>
      </c>
      <c r="J91" s="2">
        <v>0.20100000000000001</v>
      </c>
    </row>
    <row r="92" spans="1:10" x14ac:dyDescent="0.35">
      <c r="A92" s="2" t="s">
        <v>2550</v>
      </c>
      <c r="B92" s="2">
        <v>7.0289999999999999</v>
      </c>
      <c r="C92" s="3">
        <v>44715</v>
      </c>
      <c r="D92" s="2">
        <v>0.94599999999999995</v>
      </c>
      <c r="E92" s="2">
        <v>70.2</v>
      </c>
      <c r="F92" s="2">
        <v>0.872</v>
      </c>
      <c r="G92" s="2">
        <v>0.59199999999999997</v>
      </c>
      <c r="H92" s="2">
        <v>0.27900000000000003</v>
      </c>
      <c r="I92" s="2">
        <v>0.73</v>
      </c>
      <c r="J92" s="2">
        <v>0.215</v>
      </c>
    </row>
    <row r="93" spans="1:10" x14ac:dyDescent="0.35">
      <c r="A93" s="2" t="s">
        <v>2551</v>
      </c>
      <c r="B93" s="2">
        <v>6.2839999999999998</v>
      </c>
      <c r="C93" s="3">
        <v>5809</v>
      </c>
      <c r="D93" s="2">
        <v>0.84299999999999997</v>
      </c>
      <c r="E93" s="2">
        <v>65.5</v>
      </c>
      <c r="F93" s="2">
        <v>0.90700000000000003</v>
      </c>
      <c r="G93" s="2">
        <v>0.254</v>
      </c>
      <c r="H93" s="2">
        <v>0.59099999999999997</v>
      </c>
      <c r="I93" s="2">
        <v>0.78800000000000003</v>
      </c>
      <c r="J93" s="2">
        <v>0.32200000000000001</v>
      </c>
    </row>
    <row r="94" spans="1:10" x14ac:dyDescent="0.35">
      <c r="A94" s="2" t="s">
        <v>2552</v>
      </c>
      <c r="B94" s="2">
        <v>4.556</v>
      </c>
      <c r="C94" s="3">
        <v>1295</v>
      </c>
      <c r="D94" s="2">
        <v>0.61499999999999999</v>
      </c>
      <c r="E94" s="2">
        <v>55.5</v>
      </c>
      <c r="F94" s="2">
        <v>0.77700000000000002</v>
      </c>
      <c r="G94" s="2">
        <v>0.17299999999999999</v>
      </c>
      <c r="H94" s="2">
        <v>0.73399999999999999</v>
      </c>
      <c r="I94" s="2">
        <v>0.76400000000000001</v>
      </c>
      <c r="J94" s="2">
        <v>0.39200000000000002</v>
      </c>
    </row>
    <row r="95" spans="1:10" x14ac:dyDescent="0.35">
      <c r="A95" s="2" t="s">
        <v>2553</v>
      </c>
      <c r="B95" s="2">
        <v>4.8810000000000002</v>
      </c>
      <c r="C95" s="3">
        <v>4956</v>
      </c>
      <c r="D95" s="2">
        <v>0.77</v>
      </c>
      <c r="E95" s="2">
        <v>54.4</v>
      </c>
      <c r="F95" s="2">
        <v>0.74199999999999999</v>
      </c>
      <c r="G95" s="2">
        <v>0.38200000000000001</v>
      </c>
      <c r="H95" s="2">
        <v>0.90800000000000003</v>
      </c>
      <c r="I95" s="2">
        <v>0.71599999999999997</v>
      </c>
      <c r="J95" s="2">
        <v>0.23699999999999999</v>
      </c>
    </row>
    <row r="96" spans="1:10" x14ac:dyDescent="0.35">
      <c r="A96" s="2" t="s">
        <v>2554</v>
      </c>
      <c r="B96" s="2">
        <v>5.3689999999999998</v>
      </c>
      <c r="C96" s="3">
        <v>17140</v>
      </c>
      <c r="D96" s="2">
        <v>0.84799999999999998</v>
      </c>
      <c r="E96" s="2">
        <v>66.099999999999994</v>
      </c>
      <c r="F96" s="2">
        <v>0.752</v>
      </c>
      <c r="G96" s="2">
        <v>0.45800000000000002</v>
      </c>
      <c r="H96" s="2">
        <v>0.91400000000000003</v>
      </c>
      <c r="I96" s="2">
        <v>0.54600000000000004</v>
      </c>
      <c r="J96" s="2">
        <v>0.28399999999999997</v>
      </c>
    </row>
    <row r="97" spans="1:10" x14ac:dyDescent="0.35">
      <c r="A97" s="2" t="s">
        <v>2555</v>
      </c>
      <c r="B97" s="2">
        <v>7.3019999999999996</v>
      </c>
      <c r="C97" s="3">
        <v>67061</v>
      </c>
      <c r="D97" s="2">
        <v>0.94199999999999995</v>
      </c>
      <c r="E97" s="2">
        <v>71.400000000000006</v>
      </c>
      <c r="F97" s="2">
        <v>0.93799999999999994</v>
      </c>
      <c r="G97" s="2">
        <v>0.61699999999999999</v>
      </c>
      <c r="H97" s="2">
        <v>0.27400000000000002</v>
      </c>
      <c r="I97" s="2">
        <v>0.76200000000000001</v>
      </c>
      <c r="J97" s="2">
        <v>0.215</v>
      </c>
    </row>
    <row r="98" spans="1:10" x14ac:dyDescent="0.35">
      <c r="A98" s="2" t="s">
        <v>2556</v>
      </c>
      <c r="B98" s="2">
        <v>4.657</v>
      </c>
      <c r="C98" s="3">
        <v>5351</v>
      </c>
      <c r="D98" s="2">
        <v>0.58499999999999996</v>
      </c>
      <c r="E98" s="2">
        <v>56.9</v>
      </c>
      <c r="F98" s="2">
        <v>0.72499999999999998</v>
      </c>
      <c r="G98" s="2">
        <v>0.27200000000000002</v>
      </c>
      <c r="H98" s="2">
        <v>0.83299999999999996</v>
      </c>
      <c r="I98" s="2">
        <v>0.497</v>
      </c>
      <c r="J98" s="2">
        <v>0.36399999999999999</v>
      </c>
    </row>
    <row r="99" spans="1:10" x14ac:dyDescent="0.35">
      <c r="A99" s="2" t="s">
        <v>2557</v>
      </c>
      <c r="B99" s="2">
        <v>6.3579999999999997</v>
      </c>
      <c r="C99" s="3">
        <v>32766</v>
      </c>
      <c r="D99" s="2">
        <v>0.89300000000000002</v>
      </c>
      <c r="E99" s="2">
        <v>68.7</v>
      </c>
      <c r="F99" s="2">
        <v>0.85399999999999998</v>
      </c>
      <c r="G99" s="2">
        <v>0.23400000000000001</v>
      </c>
      <c r="H99" s="2">
        <v>0.876</v>
      </c>
      <c r="I99" s="2">
        <v>0.82899999999999996</v>
      </c>
      <c r="J99" s="2">
        <v>0.24299999999999999</v>
      </c>
    </row>
    <row r="100" spans="1:10" x14ac:dyDescent="0.35">
      <c r="A100" s="2" t="s">
        <v>2558</v>
      </c>
      <c r="B100" s="2">
        <v>5.9770000000000003</v>
      </c>
      <c r="C100" s="3">
        <v>13743</v>
      </c>
      <c r="D100" s="2">
        <v>0.9</v>
      </c>
      <c r="E100" s="2">
        <v>65.8</v>
      </c>
      <c r="F100" s="2">
        <v>0.90300000000000002</v>
      </c>
      <c r="G100" s="2">
        <v>0.313</v>
      </c>
      <c r="H100" s="2">
        <v>0.84499999999999997</v>
      </c>
      <c r="I100" s="2">
        <v>0.82</v>
      </c>
      <c r="J100" s="2">
        <v>0.24199999999999999</v>
      </c>
    </row>
    <row r="101" spans="1:10" x14ac:dyDescent="0.35">
      <c r="A101" s="2" t="s">
        <v>2559</v>
      </c>
      <c r="B101" s="2">
        <v>5.8410000000000002</v>
      </c>
      <c r="C101" s="3">
        <v>12702</v>
      </c>
      <c r="D101" s="2">
        <v>0.81100000000000005</v>
      </c>
      <c r="E101" s="2">
        <v>69.5</v>
      </c>
      <c r="F101" s="2">
        <v>0.77800000000000002</v>
      </c>
      <c r="G101" s="2">
        <v>0.19800000000000001</v>
      </c>
      <c r="H101" s="2">
        <v>0.89500000000000002</v>
      </c>
      <c r="I101" s="2">
        <v>0.76900000000000002</v>
      </c>
      <c r="J101" s="2">
        <v>0.372</v>
      </c>
    </row>
    <row r="102" spans="1:10" x14ac:dyDescent="0.35">
      <c r="A102" s="2" t="s">
        <v>2560</v>
      </c>
      <c r="B102" s="2">
        <v>6.048</v>
      </c>
      <c r="C102" s="3">
        <v>8541</v>
      </c>
      <c r="D102" s="2">
        <v>0.79700000000000004</v>
      </c>
      <c r="E102" s="2">
        <v>62</v>
      </c>
      <c r="F102" s="2">
        <v>0.93100000000000005</v>
      </c>
      <c r="G102" s="2">
        <v>0.21199999999999999</v>
      </c>
      <c r="H102" s="2">
        <v>0.748</v>
      </c>
      <c r="I102" s="2">
        <v>0.80800000000000005</v>
      </c>
      <c r="J102" s="2">
        <v>0.316</v>
      </c>
    </row>
    <row r="103" spans="1:10" x14ac:dyDescent="0.35">
      <c r="A103" s="2" t="s">
        <v>2561</v>
      </c>
      <c r="B103" s="2">
        <v>6.4420000000000002</v>
      </c>
      <c r="C103" s="3">
        <v>36321</v>
      </c>
      <c r="D103" s="2">
        <v>0.90300000000000002</v>
      </c>
      <c r="E103" s="2">
        <v>68.7</v>
      </c>
      <c r="F103" s="2">
        <v>0.76700000000000002</v>
      </c>
      <c r="G103" s="2">
        <v>0.27800000000000002</v>
      </c>
      <c r="H103" s="2">
        <v>0.69499999999999995</v>
      </c>
      <c r="I103" s="2">
        <v>0.61899999999999999</v>
      </c>
      <c r="J103" s="2">
        <v>0.193</v>
      </c>
    </row>
    <row r="104" spans="1:10" x14ac:dyDescent="0.35">
      <c r="A104" s="2" t="s">
        <v>2562</v>
      </c>
      <c r="B104" s="2">
        <v>6.03</v>
      </c>
      <c r="C104" s="3">
        <v>35282</v>
      </c>
      <c r="D104" s="2">
        <v>0.88400000000000001</v>
      </c>
      <c r="E104" s="2">
        <v>71</v>
      </c>
      <c r="F104" s="2">
        <v>0.88100000000000001</v>
      </c>
      <c r="G104" s="2">
        <v>0.20699999999999999</v>
      </c>
      <c r="H104" s="2">
        <v>0.88600000000000001</v>
      </c>
      <c r="I104" s="2">
        <v>0.64300000000000002</v>
      </c>
      <c r="J104" s="2">
        <v>0.30299999999999999</v>
      </c>
    </row>
    <row r="105" spans="1:10" x14ac:dyDescent="0.35">
      <c r="A105" s="2" t="s">
        <v>2563</v>
      </c>
      <c r="B105" s="2">
        <v>6.4909999999999997</v>
      </c>
      <c r="C105" s="3">
        <v>32515</v>
      </c>
      <c r="D105" s="2">
        <v>0.83199999999999996</v>
      </c>
      <c r="E105" s="2">
        <v>66.8</v>
      </c>
      <c r="F105" s="2">
        <v>0.85099999999999998</v>
      </c>
      <c r="G105" s="2">
        <v>0.191</v>
      </c>
      <c r="H105" s="2">
        <v>0.92500000000000004</v>
      </c>
      <c r="I105" s="2">
        <v>0.64200000000000002</v>
      </c>
      <c r="J105" s="2">
        <v>0.26100000000000001</v>
      </c>
    </row>
    <row r="106" spans="1:10" x14ac:dyDescent="0.35">
      <c r="A106" s="2" t="s">
        <v>2564</v>
      </c>
      <c r="B106" s="2">
        <v>5.7850000000000001</v>
      </c>
      <c r="C106" s="3">
        <v>27634</v>
      </c>
      <c r="D106" s="2">
        <v>0.878</v>
      </c>
      <c r="E106" s="2">
        <v>64.2</v>
      </c>
      <c r="F106" s="2">
        <v>0.73199999999999998</v>
      </c>
      <c r="G106" s="2">
        <v>0.377</v>
      </c>
      <c r="H106" s="2">
        <v>0.76900000000000002</v>
      </c>
      <c r="I106" s="2">
        <v>0.60699999999999998</v>
      </c>
      <c r="J106" s="2">
        <v>0.19700000000000001</v>
      </c>
    </row>
    <row r="107" spans="1:10" x14ac:dyDescent="0.35">
      <c r="A107" s="2" t="s">
        <v>2565</v>
      </c>
      <c r="B107" s="2">
        <v>4.9690000000000003</v>
      </c>
      <c r="C107" s="3">
        <v>3572</v>
      </c>
      <c r="D107" s="2">
        <v>0.64300000000000002</v>
      </c>
      <c r="E107" s="2">
        <v>59.4</v>
      </c>
      <c r="F107" s="2">
        <v>0.77200000000000002</v>
      </c>
      <c r="G107" s="2">
        <v>0.25800000000000001</v>
      </c>
      <c r="H107" s="2">
        <v>0.84</v>
      </c>
      <c r="I107" s="2">
        <v>0.81399999999999995</v>
      </c>
      <c r="J107" s="2">
        <v>0.27</v>
      </c>
    </row>
    <row r="108" spans="1:10" x14ac:dyDescent="0.35">
      <c r="A108" s="2" t="s">
        <v>2566</v>
      </c>
      <c r="B108" s="2">
        <v>6.4109999999999996</v>
      </c>
      <c r="C108" s="3">
        <v>20498</v>
      </c>
      <c r="D108" s="2">
        <v>0.89300000000000002</v>
      </c>
      <c r="E108" s="2">
        <v>66.900000000000006</v>
      </c>
      <c r="F108" s="2">
        <v>0.81299999999999994</v>
      </c>
      <c r="G108" s="2">
        <v>0.48199999999999998</v>
      </c>
      <c r="H108" s="2">
        <v>0.79700000000000004</v>
      </c>
      <c r="I108" s="2">
        <v>0.53600000000000003</v>
      </c>
      <c r="J108" s="2">
        <v>0.26400000000000001</v>
      </c>
    </row>
    <row r="109" spans="1:10" x14ac:dyDescent="0.35">
      <c r="A109" s="2" t="s">
        <v>2567</v>
      </c>
      <c r="B109" s="2">
        <v>3.2450000000000001</v>
      </c>
      <c r="C109" s="3">
        <v>1635</v>
      </c>
      <c r="D109" s="2">
        <v>0.57099999999999995</v>
      </c>
      <c r="E109" s="2">
        <v>52.9</v>
      </c>
      <c r="F109" s="2">
        <v>0.67200000000000004</v>
      </c>
      <c r="G109" s="2">
        <v>0.26100000000000001</v>
      </c>
      <c r="H109" s="2">
        <v>0.86099999999999999</v>
      </c>
      <c r="I109" s="2">
        <v>0.51200000000000001</v>
      </c>
      <c r="J109" s="2">
        <v>0.46100000000000002</v>
      </c>
    </row>
    <row r="110" spans="1:10" x14ac:dyDescent="0.35">
      <c r="A110" s="2" t="s">
        <v>2568</v>
      </c>
      <c r="B110" s="2">
        <v>6.5229999999999997</v>
      </c>
      <c r="C110" s="3">
        <v>107891</v>
      </c>
      <c r="D110" s="2">
        <v>0.88100000000000001</v>
      </c>
      <c r="E110" s="2">
        <v>73.599999999999994</v>
      </c>
      <c r="F110" s="2">
        <v>0.871</v>
      </c>
      <c r="G110" s="2">
        <v>0.58599999999999997</v>
      </c>
      <c r="H110" s="2">
        <v>0.14899999999999999</v>
      </c>
      <c r="I110" s="2">
        <v>0.68400000000000005</v>
      </c>
      <c r="J110" s="2">
        <v>0.187</v>
      </c>
    </row>
    <row r="111" spans="1:10" x14ac:dyDescent="0.35">
      <c r="A111" s="2" t="s">
        <v>2569</v>
      </c>
      <c r="B111" s="2">
        <v>6.2569999999999997</v>
      </c>
      <c r="C111" s="3">
        <v>33127</v>
      </c>
      <c r="D111" s="2">
        <v>0.95099999999999996</v>
      </c>
      <c r="E111" s="2">
        <v>68.5</v>
      </c>
      <c r="F111" s="2">
        <v>0.74199999999999999</v>
      </c>
      <c r="G111" s="2">
        <v>0.30499999999999999</v>
      </c>
      <c r="H111" s="2">
        <v>0.85499999999999998</v>
      </c>
      <c r="I111" s="2">
        <v>0.66800000000000004</v>
      </c>
      <c r="J111" s="2">
        <v>0.246</v>
      </c>
    </row>
    <row r="112" spans="1:10" x14ac:dyDescent="0.35">
      <c r="A112" s="2" t="s">
        <v>2570</v>
      </c>
      <c r="B112" s="2">
        <v>6.7430000000000003</v>
      </c>
      <c r="C112" s="3">
        <v>41658</v>
      </c>
      <c r="D112" s="2">
        <v>0.93600000000000005</v>
      </c>
      <c r="E112" s="2">
        <v>70.7</v>
      </c>
      <c r="F112" s="2">
        <v>0.90400000000000003</v>
      </c>
      <c r="G112" s="2">
        <v>0.44600000000000001</v>
      </c>
      <c r="H112" s="2">
        <v>0.75600000000000001</v>
      </c>
      <c r="I112" s="2">
        <v>0.627</v>
      </c>
      <c r="J112" s="2">
        <v>0.253</v>
      </c>
    </row>
    <row r="113" spans="1:10" x14ac:dyDescent="0.35">
      <c r="A113" s="2" t="s">
        <v>2571</v>
      </c>
      <c r="B113" s="2">
        <v>5.4219999999999997</v>
      </c>
      <c r="C113" s="3">
        <v>13392</v>
      </c>
      <c r="D113" s="2">
        <v>0.88500000000000001</v>
      </c>
      <c r="E113" s="2">
        <v>56.2</v>
      </c>
      <c r="F113" s="2">
        <v>0.72099999999999997</v>
      </c>
      <c r="G113" s="2">
        <v>0.20200000000000001</v>
      </c>
      <c r="H113" s="2">
        <v>0.88700000000000001</v>
      </c>
      <c r="I113" s="2">
        <v>0.747</v>
      </c>
      <c r="J113" s="2">
        <v>0.221</v>
      </c>
    </row>
    <row r="114" spans="1:10" x14ac:dyDescent="0.35">
      <c r="A114" s="2" t="s">
        <v>2572</v>
      </c>
      <c r="B114" s="2">
        <v>6.0579999999999998</v>
      </c>
      <c r="C114" s="3">
        <v>45313</v>
      </c>
      <c r="D114" s="2">
        <v>0.81</v>
      </c>
      <c r="E114" s="2">
        <v>73.099999999999994</v>
      </c>
      <c r="F114" s="2">
        <v>0.73399999999999999</v>
      </c>
      <c r="G114" s="2">
        <v>0.39</v>
      </c>
      <c r="H114" s="2">
        <v>0.71799999999999997</v>
      </c>
      <c r="I114" s="2">
        <v>0.58599999999999997</v>
      </c>
      <c r="J114" s="2">
        <v>0.23300000000000001</v>
      </c>
    </row>
    <row r="115" spans="1:10" x14ac:dyDescent="0.35">
      <c r="A115" s="2" t="s">
        <v>2573</v>
      </c>
      <c r="B115" s="2">
        <v>6.4210000000000003</v>
      </c>
      <c r="C115" s="3">
        <v>39406</v>
      </c>
      <c r="D115" s="2">
        <v>0.92400000000000004</v>
      </c>
      <c r="E115" s="2">
        <v>72.099999999999994</v>
      </c>
      <c r="F115" s="2">
        <v>0.78100000000000003</v>
      </c>
      <c r="G115" s="2">
        <v>0.36299999999999999</v>
      </c>
      <c r="H115" s="2">
        <v>0.69199999999999995</v>
      </c>
      <c r="I115" s="2">
        <v>0.64300000000000002</v>
      </c>
      <c r="J115" s="2">
        <v>0.32300000000000001</v>
      </c>
    </row>
    <row r="116" spans="1:10" x14ac:dyDescent="0.35">
      <c r="A116" s="2" t="s">
        <v>2574</v>
      </c>
      <c r="B116" s="2">
        <v>3.8980000000000001</v>
      </c>
      <c r="C116" s="3">
        <v>12356</v>
      </c>
      <c r="D116" s="2">
        <v>0.81</v>
      </c>
      <c r="E116" s="2">
        <v>67</v>
      </c>
      <c r="F116" s="2">
        <v>0.755</v>
      </c>
      <c r="G116" s="2">
        <v>0.33100000000000002</v>
      </c>
      <c r="H116" s="2">
        <v>0.89200000000000002</v>
      </c>
      <c r="I116" s="2">
        <v>0.72</v>
      </c>
      <c r="J116" s="2">
        <v>0.32600000000000001</v>
      </c>
    </row>
    <row r="117" spans="1:10" x14ac:dyDescent="0.35">
      <c r="A117" s="2" t="s">
        <v>2575</v>
      </c>
      <c r="B117" s="2">
        <v>7.3440000000000003</v>
      </c>
      <c r="C117" s="3">
        <v>54291</v>
      </c>
      <c r="D117" s="2">
        <v>0.93600000000000005</v>
      </c>
      <c r="E117" s="2">
        <v>71.900000000000006</v>
      </c>
      <c r="F117" s="2">
        <v>0.94</v>
      </c>
      <c r="G117" s="2">
        <v>0.59599999999999997</v>
      </c>
      <c r="H117" s="2">
        <v>0.219</v>
      </c>
      <c r="I117" s="2">
        <v>0.751</v>
      </c>
      <c r="J117" s="2">
        <v>0.183</v>
      </c>
    </row>
    <row r="118" spans="1:10" x14ac:dyDescent="0.35">
      <c r="A118" s="2" t="s">
        <v>2576</v>
      </c>
      <c r="B118" s="2">
        <v>7.06</v>
      </c>
      <c r="C118" s="3">
        <v>70670</v>
      </c>
      <c r="D118" s="2">
        <v>0.90600000000000003</v>
      </c>
      <c r="E118" s="2">
        <v>72.5</v>
      </c>
      <c r="F118" s="2">
        <v>0.88200000000000001</v>
      </c>
      <c r="G118" s="2">
        <v>0.51600000000000001</v>
      </c>
      <c r="H118" s="2">
        <v>0.255</v>
      </c>
      <c r="I118" s="2">
        <v>0.73399999999999999</v>
      </c>
      <c r="J118" s="2">
        <v>0.182</v>
      </c>
    </row>
    <row r="119" spans="1:10" x14ac:dyDescent="0.35">
      <c r="A119" s="2" t="s">
        <v>2577</v>
      </c>
      <c r="B119" s="2">
        <v>3.7810000000000001</v>
      </c>
      <c r="C119" s="3">
        <v>2628</v>
      </c>
      <c r="D119" s="2">
        <v>0.626</v>
      </c>
      <c r="E119" s="2">
        <v>58.5</v>
      </c>
      <c r="F119" s="2">
        <v>0.84599999999999997</v>
      </c>
      <c r="G119" s="2">
        <v>0.318</v>
      </c>
      <c r="H119" s="2">
        <v>0.58299999999999996</v>
      </c>
      <c r="I119" s="2">
        <v>0.68700000000000006</v>
      </c>
      <c r="J119" s="2">
        <v>0.218</v>
      </c>
    </row>
    <row r="120" spans="1:10" x14ac:dyDescent="0.35">
      <c r="A120" s="2" t="s">
        <v>2578</v>
      </c>
      <c r="B120" s="2">
        <v>5.976</v>
      </c>
      <c r="C120" s="3">
        <v>17582</v>
      </c>
      <c r="D120" s="2">
        <v>0.876</v>
      </c>
      <c r="E120" s="2">
        <v>68.3</v>
      </c>
      <c r="F120" s="2">
        <v>0.88</v>
      </c>
      <c r="G120" s="2">
        <v>0.64400000000000002</v>
      </c>
      <c r="H120" s="2">
        <v>0.90100000000000002</v>
      </c>
      <c r="I120" s="2">
        <v>0.77</v>
      </c>
      <c r="J120" s="2">
        <v>0.24299999999999999</v>
      </c>
    </row>
    <row r="121" spans="1:10" x14ac:dyDescent="0.35">
      <c r="A121" s="2" t="s">
        <v>2579</v>
      </c>
      <c r="B121" s="2">
        <v>4.2140000000000004</v>
      </c>
      <c r="C121" s="3">
        <v>2203</v>
      </c>
      <c r="D121" s="2">
        <v>0.57899999999999996</v>
      </c>
      <c r="E121" s="2">
        <v>56.2</v>
      </c>
      <c r="F121" s="2">
        <v>0.66</v>
      </c>
      <c r="G121" s="2">
        <v>0.17399999999999999</v>
      </c>
      <c r="H121" s="2">
        <v>0.72099999999999997</v>
      </c>
      <c r="I121" s="2">
        <v>0.59099999999999997</v>
      </c>
      <c r="J121" s="2">
        <v>0.39900000000000002</v>
      </c>
    </row>
    <row r="122" spans="1:10" x14ac:dyDescent="0.35">
      <c r="A122" s="2" t="s">
        <v>2580</v>
      </c>
      <c r="B122" s="2">
        <v>4.4219999999999997</v>
      </c>
      <c r="C122" s="3">
        <v>10571</v>
      </c>
      <c r="D122" s="2">
        <v>0.72299999999999998</v>
      </c>
      <c r="E122" s="2">
        <v>66.900000000000006</v>
      </c>
      <c r="F122" s="2">
        <v>0.51600000000000001</v>
      </c>
      <c r="G122" s="2">
        <v>7.3999999999999996E-2</v>
      </c>
      <c r="H122" s="2">
        <v>0.90900000000000003</v>
      </c>
      <c r="I122" s="2">
        <v>0.45800000000000002</v>
      </c>
      <c r="J122" s="2">
        <v>0.33400000000000002</v>
      </c>
    </row>
    <row r="123" spans="1:10" x14ac:dyDescent="0.35">
      <c r="A123" s="2" t="s">
        <v>2581</v>
      </c>
      <c r="B123" s="2">
        <v>4.9749999999999996</v>
      </c>
      <c r="C123" s="3">
        <v>32753</v>
      </c>
      <c r="D123" s="2">
        <v>0.80900000000000005</v>
      </c>
      <c r="E123" s="2">
        <v>68.400000000000006</v>
      </c>
      <c r="F123" s="2">
        <v>0.47799999999999998</v>
      </c>
      <c r="G123" s="2">
        <v>0.245</v>
      </c>
      <c r="H123" s="2">
        <v>0.77700000000000002</v>
      </c>
      <c r="I123" s="2">
        <v>0.318</v>
      </c>
      <c r="J123" s="2">
        <v>0.40300000000000002</v>
      </c>
    </row>
    <row r="124" spans="1:10" x14ac:dyDescent="0.35">
      <c r="A124" s="2" t="s">
        <v>2582</v>
      </c>
      <c r="B124" s="2">
        <v>4.3719999999999999</v>
      </c>
      <c r="C124" s="3">
        <v>2290</v>
      </c>
      <c r="D124" s="2">
        <v>0.79900000000000004</v>
      </c>
      <c r="E124" s="2">
        <v>58.2</v>
      </c>
      <c r="F124" s="2">
        <v>0.75800000000000001</v>
      </c>
      <c r="G124" s="2">
        <v>0.27900000000000003</v>
      </c>
      <c r="H124" s="2">
        <v>0.86</v>
      </c>
      <c r="I124" s="2">
        <v>0.71099999999999997</v>
      </c>
      <c r="J124" s="2">
        <v>0.39300000000000002</v>
      </c>
    </row>
    <row r="125" spans="1:10" x14ac:dyDescent="0.35">
      <c r="A125" s="2" t="s">
        <v>2583</v>
      </c>
      <c r="B125" s="2">
        <v>4.8730000000000002</v>
      </c>
      <c r="C125" s="3">
        <v>11971</v>
      </c>
      <c r="D125" s="2">
        <v>0.86299999999999999</v>
      </c>
      <c r="E125" s="2">
        <v>64.3</v>
      </c>
      <c r="F125" s="2">
        <v>0.78900000000000003</v>
      </c>
      <c r="G125" s="2">
        <v>0.62</v>
      </c>
      <c r="H125" s="2">
        <v>0.89900000000000002</v>
      </c>
      <c r="I125" s="2">
        <v>0.53100000000000003</v>
      </c>
      <c r="J125" s="2">
        <v>0.34</v>
      </c>
    </row>
    <row r="126" spans="1:10" x14ac:dyDescent="0.35">
      <c r="A126" s="2" t="s">
        <v>2584</v>
      </c>
      <c r="B126" s="2">
        <v>6.7489999999999997</v>
      </c>
      <c r="C126" s="3">
        <v>46260</v>
      </c>
      <c r="D126" s="2">
        <v>0.86799999999999999</v>
      </c>
      <c r="E126" s="2">
        <v>70.099999999999994</v>
      </c>
      <c r="F126" s="2">
        <v>0.84899999999999998</v>
      </c>
      <c r="G126" s="2">
        <v>0.67700000000000005</v>
      </c>
      <c r="H126" s="2">
        <v>0.45500000000000002</v>
      </c>
      <c r="I126" s="2">
        <v>0.70899999999999996</v>
      </c>
      <c r="J126" s="2">
        <v>0.26900000000000002</v>
      </c>
    </row>
    <row r="127" spans="1:10" x14ac:dyDescent="0.35">
      <c r="A127" s="2" t="s">
        <v>2585</v>
      </c>
      <c r="B127" s="2">
        <v>6.7249999999999996</v>
      </c>
      <c r="C127" s="3">
        <v>64595</v>
      </c>
      <c r="D127" s="2">
        <v>0.89300000000000002</v>
      </c>
      <c r="E127" s="2">
        <v>66.099999999999994</v>
      </c>
      <c r="F127" s="2">
        <v>0.75700000000000001</v>
      </c>
      <c r="G127" s="2">
        <v>0.61299999999999999</v>
      </c>
      <c r="H127" s="2">
        <v>0.70299999999999996</v>
      </c>
      <c r="I127" s="2">
        <v>0.71899999999999997</v>
      </c>
      <c r="J127" s="2">
        <v>0.27700000000000002</v>
      </c>
    </row>
    <row r="128" spans="1:10" x14ac:dyDescent="0.35">
      <c r="A128" s="2" t="s">
        <v>2586</v>
      </c>
      <c r="B128" s="2">
        <v>6.6109999999999998</v>
      </c>
      <c r="C128" s="3">
        <v>24182</v>
      </c>
      <c r="D128" s="2">
        <v>0.90900000000000003</v>
      </c>
      <c r="E128" s="2">
        <v>67.5</v>
      </c>
      <c r="F128" s="2">
        <v>0.89400000000000002</v>
      </c>
      <c r="G128" s="2">
        <v>0.30199999999999999</v>
      </c>
      <c r="H128" s="2">
        <v>0.63300000000000001</v>
      </c>
      <c r="I128" s="2">
        <v>0.75900000000000001</v>
      </c>
      <c r="J128" s="2">
        <v>0.26500000000000001</v>
      </c>
    </row>
    <row r="129" spans="1:10" x14ac:dyDescent="0.35">
      <c r="A129" s="2" t="s">
        <v>2587</v>
      </c>
      <c r="B129" s="2">
        <v>6.1950000000000003</v>
      </c>
      <c r="C129" s="3">
        <v>8060</v>
      </c>
      <c r="D129" s="2">
        <v>0.89400000000000002</v>
      </c>
      <c r="E129" s="2">
        <v>64.7</v>
      </c>
      <c r="F129" s="2">
        <v>0.93700000000000006</v>
      </c>
      <c r="G129" s="2">
        <v>0.52100000000000002</v>
      </c>
      <c r="H129" s="2">
        <v>0.64100000000000001</v>
      </c>
      <c r="I129" s="2">
        <v>0.73199999999999998</v>
      </c>
      <c r="J129" s="2">
        <v>0.221</v>
      </c>
    </row>
    <row r="130" spans="1:10" x14ac:dyDescent="0.35">
      <c r="A130" s="2" t="s">
        <v>2588</v>
      </c>
      <c r="B130" s="2">
        <v>6.0430000000000001</v>
      </c>
      <c r="C130" s="3">
        <v>11324</v>
      </c>
      <c r="D130" s="2">
        <v>0.84499999999999997</v>
      </c>
      <c r="E130" s="2">
        <v>65.3</v>
      </c>
      <c r="F130" s="2">
        <v>0.94299999999999995</v>
      </c>
      <c r="G130" s="2">
        <v>0.224</v>
      </c>
      <c r="H130" s="2">
        <v>0.71599999999999997</v>
      </c>
      <c r="I130" s="2">
        <v>0.71299999999999997</v>
      </c>
      <c r="J130" s="2">
        <v>0.16900000000000001</v>
      </c>
    </row>
    <row r="131" spans="1:10" x14ac:dyDescent="0.35">
      <c r="A131" s="2" t="s">
        <v>2589</v>
      </c>
      <c r="B131" s="2">
        <v>3.5019999999999998</v>
      </c>
      <c r="C131" s="3">
        <v>3293</v>
      </c>
      <c r="D131" s="2">
        <v>0.66600000000000004</v>
      </c>
      <c r="E131" s="2">
        <v>54.4</v>
      </c>
      <c r="F131" s="2">
        <v>0.85899999999999999</v>
      </c>
      <c r="G131" s="2">
        <v>0.28499999999999998</v>
      </c>
      <c r="H131" s="2">
        <v>0.78500000000000003</v>
      </c>
      <c r="I131" s="2">
        <v>0.65700000000000003</v>
      </c>
      <c r="J131" s="2">
        <v>0.34</v>
      </c>
    </row>
    <row r="132" spans="1:10" x14ac:dyDescent="0.35">
      <c r="A132" s="2" t="s">
        <v>2590</v>
      </c>
      <c r="B132" s="2">
        <v>3.3410000000000002</v>
      </c>
      <c r="C132" s="3">
        <v>2140</v>
      </c>
      <c r="D132" s="2">
        <v>0.68200000000000005</v>
      </c>
      <c r="E132" s="2">
        <v>53.1</v>
      </c>
      <c r="F132" s="2">
        <v>0.68500000000000005</v>
      </c>
      <c r="G132" s="2">
        <v>0.107</v>
      </c>
      <c r="H132" s="2">
        <v>0.75600000000000001</v>
      </c>
      <c r="I132" s="2">
        <v>0.62</v>
      </c>
      <c r="J132" s="2">
        <v>0.20399999999999999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354C-02FF-45CD-AD89-A04A0DAC919D}">
  <dimension ref="A1:R144"/>
  <sheetViews>
    <sheetView zoomScale="76" workbookViewId="0">
      <selection sqref="A1:A1048576"/>
    </sheetView>
  </sheetViews>
  <sheetFormatPr defaultRowHeight="14.5" x14ac:dyDescent="0.35"/>
  <cols>
    <col min="1" max="1" width="35" bestFit="1" customWidth="1"/>
    <col min="2" max="2" width="35.54296875" bestFit="1" customWidth="1"/>
    <col min="3" max="3" width="35" bestFit="1" customWidth="1"/>
    <col min="4" max="4" width="33.36328125" bestFit="1" customWidth="1"/>
    <col min="5" max="5" width="36.08984375" bestFit="1" customWidth="1"/>
    <col min="6" max="6" width="35" bestFit="1" customWidth="1"/>
    <col min="7" max="7" width="31.6328125" bestFit="1" customWidth="1"/>
    <col min="8" max="9" width="36.08984375" bestFit="1" customWidth="1"/>
    <col min="10" max="10" width="27.6328125" bestFit="1" customWidth="1"/>
    <col min="11" max="11" width="29" bestFit="1" customWidth="1"/>
    <col min="12" max="12" width="27.6328125" bestFit="1" customWidth="1"/>
    <col min="13" max="13" width="27.08984375" bestFit="1" customWidth="1"/>
    <col min="14" max="18" width="27.6328125" bestFit="1" customWidth="1"/>
  </cols>
  <sheetData>
    <row r="1" spans="1:18" x14ac:dyDescent="0.35">
      <c r="A1" s="1" t="s">
        <v>1279</v>
      </c>
      <c r="B1" s="1" t="s">
        <v>139</v>
      </c>
      <c r="C1" s="1" t="s">
        <v>283</v>
      </c>
      <c r="D1" s="1" t="s">
        <v>284</v>
      </c>
      <c r="E1" s="1" t="s">
        <v>424</v>
      </c>
      <c r="F1" s="1" t="s">
        <v>567</v>
      </c>
      <c r="G1" s="1" t="s">
        <v>849</v>
      </c>
      <c r="H1" s="1" t="s">
        <v>1280</v>
      </c>
      <c r="I1" s="1" t="s">
        <v>1281</v>
      </c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A2" s="4" t="s">
        <v>1136</v>
      </c>
      <c r="B2" s="4" t="s">
        <v>0</v>
      </c>
      <c r="C2" s="4" t="s">
        <v>140</v>
      </c>
      <c r="D2" s="4" t="s">
        <v>285</v>
      </c>
      <c r="E2" s="4" t="s">
        <v>425</v>
      </c>
      <c r="F2" s="4" t="s">
        <v>568</v>
      </c>
      <c r="G2" s="2" t="s">
        <v>711</v>
      </c>
      <c r="H2" s="4" t="s">
        <v>850</v>
      </c>
      <c r="I2" s="4" t="s">
        <v>993</v>
      </c>
      <c r="J2" s="2" t="str">
        <f>MID(A2,FIND(" ",A2)+1,LEN(A2)-FIND(" ",A2))</f>
        <v>Argentina(6.188)</v>
      </c>
      <c r="K2" s="2" t="str">
        <f t="shared" ref="K2:R17" si="0">MID(B2,FIND(" ",B2)+1,LEN(B2)-FIND(" ",B2))</f>
        <v>Bulgaria( 26,639)</v>
      </c>
      <c r="L2" s="2" t="str">
        <f t="shared" si="0"/>
        <v>France(0.876)</v>
      </c>
      <c r="M2" s="2" t="str">
        <f t="shared" si="0"/>
        <v>Hungary(67.200)</v>
      </c>
      <c r="N2" s="2" t="str">
        <f t="shared" si="0"/>
        <v>Honduras(0.854)</v>
      </c>
      <c r="O2" s="2" t="str">
        <f t="shared" si="0"/>
        <v>Nepal(0.385)</v>
      </c>
      <c r="P2" s="2" t="str">
        <f t="shared" si="0"/>
        <v>Argentina(0.824)</v>
      </c>
      <c r="Q2" s="2" t="str">
        <f t="shared" si="0"/>
        <v>Belgium(0.711)</v>
      </c>
      <c r="R2" s="2" t="str">
        <f t="shared" si="0"/>
        <v>Egypt(0.327)</v>
      </c>
    </row>
    <row r="3" spans="1:18" x14ac:dyDescent="0.35">
      <c r="A3" s="4" t="s">
        <v>1137</v>
      </c>
      <c r="B3" s="4" t="s">
        <v>1</v>
      </c>
      <c r="C3" s="4" t="s">
        <v>141</v>
      </c>
      <c r="D3" s="4" t="s">
        <v>286</v>
      </c>
      <c r="E3" s="4" t="s">
        <v>426</v>
      </c>
      <c r="F3" s="4" t="s">
        <v>569</v>
      </c>
      <c r="G3" s="2" t="s">
        <v>712</v>
      </c>
      <c r="H3" s="4" t="s">
        <v>851</v>
      </c>
      <c r="I3" s="4" t="s">
        <v>994</v>
      </c>
      <c r="J3" s="2" t="str">
        <f t="shared" ref="J3:J66" si="1">MID(A3,FIND(" ",A3)+1,LEN(A3)-FIND(" ",A3))</f>
        <v>Uzbekistan(6.195)</v>
      </c>
      <c r="K3" s="2" t="str">
        <f t="shared" si="0"/>
        <v>Russia( 27,634)</v>
      </c>
      <c r="L3" s="2" t="str">
        <f t="shared" si="0"/>
        <v>Russia(0.878)</v>
      </c>
      <c r="M3" s="2" t="str">
        <f t="shared" si="0"/>
        <v>Bosnia and Herzegovina(67.200)</v>
      </c>
      <c r="N3" s="2" t="str">
        <f t="shared" si="0"/>
        <v>Panama(0.854)</v>
      </c>
      <c r="O3" s="2" t="str">
        <f t="shared" si="0"/>
        <v>Cyprus(0.389)</v>
      </c>
      <c r="P3" s="2" t="str">
        <f t="shared" si="0"/>
        <v>Latvia(0.827)</v>
      </c>
      <c r="Q3" s="2" t="str">
        <f t="shared" si="0"/>
        <v>Vietnam(0.713)</v>
      </c>
      <c r="R3" s="2" t="str">
        <f t="shared" si="0"/>
        <v>Myanmar(0.328)</v>
      </c>
    </row>
    <row r="4" spans="1:18" x14ac:dyDescent="0.35">
      <c r="A4" s="4" t="s">
        <v>1138</v>
      </c>
      <c r="B4" s="4" t="s">
        <v>2</v>
      </c>
      <c r="C4" s="4" t="s">
        <v>142</v>
      </c>
      <c r="D4" s="4" t="s">
        <v>287</v>
      </c>
      <c r="E4" s="4" t="s">
        <v>427</v>
      </c>
      <c r="F4" s="4" t="s">
        <v>570</v>
      </c>
      <c r="G4" s="2" t="s">
        <v>713</v>
      </c>
      <c r="H4" s="4" t="s">
        <v>852</v>
      </c>
      <c r="I4" s="4" t="s">
        <v>995</v>
      </c>
      <c r="J4" s="2" t="str">
        <f t="shared" si="1"/>
        <v>Latvia(6.234)</v>
      </c>
      <c r="K4" s="2" t="str">
        <f t="shared" si="0"/>
        <v>Malaysia( 27,926)</v>
      </c>
      <c r="L4" s="2" t="str">
        <f t="shared" si="0"/>
        <v>Japan(0.879)</v>
      </c>
      <c r="M4" s="2" t="str">
        <f t="shared" si="0"/>
        <v>Uruguay(67.500)</v>
      </c>
      <c r="N4" s="2" t="str">
        <f t="shared" si="0"/>
        <v>Mexico(0.855)</v>
      </c>
      <c r="O4" s="2" t="str">
        <f t="shared" si="0"/>
        <v>South Korea(0.390)</v>
      </c>
      <c r="P4" s="2" t="str">
        <f t="shared" si="0"/>
        <v>Ecuador(0.827)</v>
      </c>
      <c r="Q4" s="2" t="str">
        <f t="shared" si="0"/>
        <v>Saudi Arabia(0.714)</v>
      </c>
      <c r="R4" s="2" t="str">
        <f t="shared" si="0"/>
        <v>Malawi(0.332)</v>
      </c>
    </row>
    <row r="5" spans="1:18" x14ac:dyDescent="0.35">
      <c r="A5" s="4" t="s">
        <v>1139</v>
      </c>
      <c r="B5" s="4" t="s">
        <v>3</v>
      </c>
      <c r="C5" s="4" t="s">
        <v>143</v>
      </c>
      <c r="D5" s="4" t="s">
        <v>288</v>
      </c>
      <c r="E5" s="4" t="s">
        <v>428</v>
      </c>
      <c r="F5" s="4" t="s">
        <v>571</v>
      </c>
      <c r="G5" s="2" t="s">
        <v>714</v>
      </c>
      <c r="H5" s="4" t="s">
        <v>853</v>
      </c>
      <c r="I5" s="4" t="s">
        <v>996</v>
      </c>
      <c r="J5" s="2" t="str">
        <f t="shared" si="1"/>
        <v>Slovakia(6.257)</v>
      </c>
      <c r="K5" s="2" t="str">
        <f t="shared" si="0"/>
        <v>Greece( 31,139)</v>
      </c>
      <c r="L5" s="2" t="str">
        <f t="shared" si="0"/>
        <v>Luxembourg(0.879)</v>
      </c>
      <c r="M5" s="2" t="str">
        <f t="shared" si="0"/>
        <v>Jordan(67.600)</v>
      </c>
      <c r="N5" s="2" t="str">
        <f t="shared" si="0"/>
        <v>Netherlands(0.858)</v>
      </c>
      <c r="O5" s="2" t="str">
        <f t="shared" si="0"/>
        <v>Kazakhstan(0.398)</v>
      </c>
      <c r="P5" s="2" t="str">
        <f t="shared" si="0"/>
        <v>Guatemala(0.828)</v>
      </c>
      <c r="Q5" s="2" t="str">
        <f t="shared" si="0"/>
        <v>Nigeria(0.716)</v>
      </c>
      <c r="R5" s="2" t="str">
        <f t="shared" si="0"/>
        <v>Tunisia(0.334)</v>
      </c>
    </row>
    <row r="6" spans="1:18" x14ac:dyDescent="0.35">
      <c r="A6" s="4" t="s">
        <v>1140</v>
      </c>
      <c r="B6" s="4" t="s">
        <v>4</v>
      </c>
      <c r="C6" s="4" t="s">
        <v>144</v>
      </c>
      <c r="D6" s="4" t="s">
        <v>289</v>
      </c>
      <c r="E6" s="4" t="s">
        <v>429</v>
      </c>
      <c r="F6" s="4" t="s">
        <v>572</v>
      </c>
      <c r="G6" s="2" t="s">
        <v>715</v>
      </c>
      <c r="H6" s="4" t="s">
        <v>854</v>
      </c>
      <c r="I6" s="4" t="s">
        <v>997</v>
      </c>
      <c r="J6" s="2" t="str">
        <f t="shared" si="1"/>
        <v>Brazil(6.272)</v>
      </c>
      <c r="K6" s="2" t="str">
        <f t="shared" si="0"/>
        <v>Romania( 32,515)</v>
      </c>
      <c r="L6" s="2" t="str">
        <f t="shared" si="0"/>
        <v>Mauritius(0.880)</v>
      </c>
      <c r="M6" s="2" t="str">
        <f t="shared" si="0"/>
        <v>Thailand(68.300)</v>
      </c>
      <c r="N6" s="2" t="str">
        <f t="shared" si="0"/>
        <v>Malta(0.859)</v>
      </c>
      <c r="O6" s="2" t="str">
        <f t="shared" si="0"/>
        <v>Taiwan Province of China(0.405)</v>
      </c>
      <c r="P6" s="2" t="str">
        <f t="shared" si="0"/>
        <v>Chile(0.831)</v>
      </c>
      <c r="Q6" s="2" t="str">
        <f t="shared" si="0"/>
        <v>Austria(0.718)</v>
      </c>
      <c r="R6" s="2" t="str">
        <f t="shared" si="0"/>
        <v>Bahrain(0.336)</v>
      </c>
    </row>
    <row r="7" spans="1:18" x14ac:dyDescent="0.35">
      <c r="A7" s="4" t="s">
        <v>1141</v>
      </c>
      <c r="B7" s="4" t="s">
        <v>5</v>
      </c>
      <c r="C7" s="4" t="s">
        <v>145</v>
      </c>
      <c r="D7" s="4" t="s">
        <v>290</v>
      </c>
      <c r="E7" s="4" t="s">
        <v>430</v>
      </c>
      <c r="F7" s="4" t="s">
        <v>573</v>
      </c>
      <c r="G7" s="2" t="s">
        <v>716</v>
      </c>
      <c r="H7" s="4" t="s">
        <v>855</v>
      </c>
      <c r="I7" s="4" t="s">
        <v>998</v>
      </c>
      <c r="J7" s="2" t="str">
        <f t="shared" si="1"/>
        <v>Nicaragua(6.284)</v>
      </c>
      <c r="K7" s="2" t="str">
        <f t="shared" si="0"/>
        <v>Latvia( 32,633)</v>
      </c>
      <c r="L7" s="2" t="str">
        <f t="shared" si="0"/>
        <v>Saudi Arabia(0.881)</v>
      </c>
      <c r="M7" s="2" t="str">
        <f t="shared" si="0"/>
        <v>Turkiye(68.400)</v>
      </c>
      <c r="N7" s="2" t="str">
        <f t="shared" si="0"/>
        <v>Zambia(0.859)</v>
      </c>
      <c r="O7" s="2" t="str">
        <f t="shared" si="0"/>
        <v>Finland(0.425)</v>
      </c>
      <c r="P7" s="2" t="str">
        <f t="shared" si="0"/>
        <v>Liberia(0.832)</v>
      </c>
      <c r="Q7" s="2" t="str">
        <f t="shared" si="0"/>
        <v>United States(0.719)</v>
      </c>
      <c r="R7" s="2" t="str">
        <f t="shared" si="0"/>
        <v>Zambia(0.340)</v>
      </c>
    </row>
    <row r="8" spans="1:18" x14ac:dyDescent="0.35">
      <c r="A8" s="4" t="s">
        <v>1142</v>
      </c>
      <c r="B8" s="4" t="s">
        <v>6</v>
      </c>
      <c r="C8" s="4" t="s">
        <v>146</v>
      </c>
      <c r="D8" s="4" t="s">
        <v>291</v>
      </c>
      <c r="E8" s="4" t="s">
        <v>431</v>
      </c>
      <c r="F8" s="4" t="s">
        <v>574</v>
      </c>
      <c r="G8" s="2" t="s">
        <v>717</v>
      </c>
      <c r="H8" s="4" t="s">
        <v>856</v>
      </c>
      <c r="I8" s="4" t="s">
        <v>999</v>
      </c>
      <c r="J8" s="2" t="str">
        <f t="shared" si="1"/>
        <v>Guatemala(6.287)</v>
      </c>
      <c r="K8" s="2" t="str">
        <f t="shared" si="0"/>
        <v>Turkiye( 32,753)</v>
      </c>
      <c r="L8" s="2" t="str">
        <f t="shared" si="0"/>
        <v>Singapore(0.881)</v>
      </c>
      <c r="M8" s="2" t="str">
        <f t="shared" si="0"/>
        <v>China(68.500)</v>
      </c>
      <c r="N8" s="2" t="str">
        <f t="shared" si="0"/>
        <v>Mozambique(0.860)</v>
      </c>
      <c r="O8" s="2" t="str">
        <f t="shared" si="0"/>
        <v>Kyrgyzstan(0.436)</v>
      </c>
      <c r="P8" s="2" t="str">
        <f t="shared" si="0"/>
        <v>Pakistan(0.833)</v>
      </c>
      <c r="Q8" s="2" t="str">
        <f t="shared" si="0"/>
        <v>Sri Lanka(0.720)</v>
      </c>
      <c r="R8" s="2" t="str">
        <f t="shared" si="0"/>
        <v>Ukraine(0.340)</v>
      </c>
    </row>
    <row r="9" spans="1:18" x14ac:dyDescent="0.35">
      <c r="A9" s="4" t="s">
        <v>1143</v>
      </c>
      <c r="B9" s="4" t="s">
        <v>7</v>
      </c>
      <c r="C9" s="4" t="s">
        <v>147</v>
      </c>
      <c r="D9" s="4" t="s">
        <v>292</v>
      </c>
      <c r="E9" s="4" t="s">
        <v>432</v>
      </c>
      <c r="F9" s="4" t="s">
        <v>575</v>
      </c>
      <c r="G9" s="2" t="s">
        <v>718</v>
      </c>
      <c r="H9" s="4" t="s">
        <v>857</v>
      </c>
      <c r="I9" s="4" t="s">
        <v>1000</v>
      </c>
      <c r="J9" s="2" t="str">
        <f t="shared" si="1"/>
        <v>Italy(6.324)</v>
      </c>
      <c r="K9" s="2" t="str">
        <f t="shared" si="0"/>
        <v>Panama( 32,766)</v>
      </c>
      <c r="L9" s="2" t="str">
        <f t="shared" si="0"/>
        <v>Kuwait(0.882)</v>
      </c>
      <c r="M9" s="2" t="str">
        <f t="shared" si="0"/>
        <v>Ecuador(68.500)</v>
      </c>
      <c r="N9" s="2" t="str">
        <f t="shared" si="0"/>
        <v>Belgium(0.860)</v>
      </c>
      <c r="O9" s="2" t="str">
        <f t="shared" si="0"/>
        <v>Israel(0.440)</v>
      </c>
      <c r="P9" s="2" t="str">
        <f t="shared" si="0"/>
        <v>Italy(0.833)</v>
      </c>
      <c r="Q9" s="2" t="str">
        <f t="shared" si="0"/>
        <v>Gambia(0.723)</v>
      </c>
      <c r="R9" s="2" t="str">
        <f t="shared" si="0"/>
        <v>Nepal(0.346)</v>
      </c>
    </row>
    <row r="10" spans="1:18" x14ac:dyDescent="0.35">
      <c r="A10" s="4" t="s">
        <v>1144</v>
      </c>
      <c r="B10" s="4" t="s">
        <v>8</v>
      </c>
      <c r="C10" s="4" t="s">
        <v>148</v>
      </c>
      <c r="D10" s="4" t="s">
        <v>293</v>
      </c>
      <c r="E10" s="4" t="s">
        <v>433</v>
      </c>
      <c r="F10" s="4" t="s">
        <v>576</v>
      </c>
      <c r="G10" s="2" t="s">
        <v>719</v>
      </c>
      <c r="H10" s="4" t="s">
        <v>858</v>
      </c>
      <c r="I10" s="4" t="s">
        <v>1001</v>
      </c>
      <c r="J10" s="2" t="str">
        <f t="shared" si="1"/>
        <v>Malta(6.346)</v>
      </c>
      <c r="K10" s="2" t="str">
        <f t="shared" si="0"/>
        <v>Slovakia( 33,127)</v>
      </c>
      <c r="L10" s="2" t="str">
        <f t="shared" si="0"/>
        <v>Portugal(0.884)</v>
      </c>
      <c r="M10" s="2" t="str">
        <f t="shared" si="0"/>
        <v>Slovakia(68.500)</v>
      </c>
      <c r="N10" s="2" t="str">
        <f t="shared" si="0"/>
        <v>Dominican Republic(0.861)</v>
      </c>
      <c r="O10" s="2" t="str">
        <f t="shared" si="0"/>
        <v>Slovenia(0.446)</v>
      </c>
      <c r="P10" s="2" t="str">
        <f t="shared" si="0"/>
        <v>Kosovo(0.835)</v>
      </c>
      <c r="Q10" s="2" t="str">
        <f t="shared" si="0"/>
        <v>Australia(0.728)</v>
      </c>
      <c r="R10" s="2" t="str">
        <f t="shared" si="0"/>
        <v>Ivory Coast(0.347)</v>
      </c>
    </row>
    <row r="11" spans="1:18" x14ac:dyDescent="0.35">
      <c r="A11" s="4" t="s">
        <v>1145</v>
      </c>
      <c r="B11" s="4" t="s">
        <v>9</v>
      </c>
      <c r="C11" s="4" t="s">
        <v>149</v>
      </c>
      <c r="D11" s="4" t="s">
        <v>294</v>
      </c>
      <c r="E11" s="4" t="s">
        <v>434</v>
      </c>
      <c r="F11" s="4" t="s">
        <v>577</v>
      </c>
      <c r="G11" s="2" t="s">
        <v>720</v>
      </c>
      <c r="H11" s="4" t="s">
        <v>859</v>
      </c>
      <c r="I11" s="4" t="s">
        <v>1002</v>
      </c>
      <c r="J11" s="2" t="str">
        <f t="shared" si="1"/>
        <v>Panama(6.358)</v>
      </c>
      <c r="K11" s="2" t="str">
        <f t="shared" si="0"/>
        <v>Croatia( 33,562)</v>
      </c>
      <c r="L11" s="2" t="str">
        <f t="shared" si="0"/>
        <v>Chile(0.884)</v>
      </c>
      <c r="M11" s="2" t="str">
        <f t="shared" si="0"/>
        <v>Croatia(68.600)</v>
      </c>
      <c r="N11" s="2" t="str">
        <f t="shared" si="0"/>
        <v>Canada(0.861)</v>
      </c>
      <c r="O11" s="2" t="str">
        <f t="shared" si="0"/>
        <v>Hong Kong S.A.R. of China(0.449)</v>
      </c>
      <c r="P11" s="2" t="str">
        <f t="shared" si="0"/>
        <v>Congo (Kinshasa)(0.835)</v>
      </c>
      <c r="Q11" s="2" t="str">
        <f t="shared" si="0"/>
        <v>New Zealand(0.730)</v>
      </c>
      <c r="R11" s="2" t="str">
        <f t="shared" si="0"/>
        <v>Mozambique(0.350)</v>
      </c>
    </row>
    <row r="12" spans="1:18" x14ac:dyDescent="0.35">
      <c r="A12" s="4" t="s">
        <v>1146</v>
      </c>
      <c r="B12" s="4" t="s">
        <v>10</v>
      </c>
      <c r="C12" s="4" t="s">
        <v>150</v>
      </c>
      <c r="D12" s="4" t="s">
        <v>295</v>
      </c>
      <c r="E12" s="4" t="s">
        <v>435</v>
      </c>
      <c r="F12" s="4" t="s">
        <v>578</v>
      </c>
      <c r="G12" s="2" t="s">
        <v>721</v>
      </c>
      <c r="H12" s="4" t="s">
        <v>860</v>
      </c>
      <c r="I12" s="4" t="s">
        <v>1003</v>
      </c>
      <c r="J12" s="2" t="str">
        <f t="shared" si="1"/>
        <v>Chile(6.360)</v>
      </c>
      <c r="K12" s="2" t="str">
        <f t="shared" si="0"/>
        <v>Hungary( 34,732)</v>
      </c>
      <c r="L12" s="2" t="str">
        <f t="shared" si="0"/>
        <v>South Africa(0.885)</v>
      </c>
      <c r="M12" s="2" t="str">
        <f t="shared" si="0"/>
        <v>Panama(68.700)</v>
      </c>
      <c r="N12" s="2" t="str">
        <f t="shared" si="0"/>
        <v>Kazakhstan(0.863)</v>
      </c>
      <c r="O12" s="2" t="str">
        <f t="shared" si="0"/>
        <v>Estonia(0.458)</v>
      </c>
      <c r="P12" s="2" t="str">
        <f t="shared" si="0"/>
        <v>Cambodia(0.837)</v>
      </c>
      <c r="Q12" s="2" t="str">
        <f t="shared" si="0"/>
        <v>Dominican Republic(0.732)</v>
      </c>
      <c r="R12" s="2" t="str">
        <f t="shared" si="0"/>
        <v>Burkina Faso(0.353)</v>
      </c>
    </row>
    <row r="13" spans="1:18" x14ac:dyDescent="0.35">
      <c r="A13" s="4" t="s">
        <v>1147</v>
      </c>
      <c r="B13" s="4" t="s">
        <v>11</v>
      </c>
      <c r="C13" s="4" t="s">
        <v>151</v>
      </c>
      <c r="D13" s="4" t="s">
        <v>296</v>
      </c>
      <c r="E13" s="4" t="s">
        <v>436</v>
      </c>
      <c r="F13" s="4" t="s">
        <v>579</v>
      </c>
      <c r="G13" s="2" t="s">
        <v>722</v>
      </c>
      <c r="H13" s="4" t="s">
        <v>861</v>
      </c>
      <c r="I13" s="4" t="s">
        <v>1004</v>
      </c>
      <c r="J13" s="2" t="str">
        <f t="shared" si="1"/>
        <v>Serbia(6.411)</v>
      </c>
      <c r="K13" s="2" t="str">
        <f t="shared" si="0"/>
        <v>Portugal( 35,282)</v>
      </c>
      <c r="L13" s="2" t="str">
        <f t="shared" si="0"/>
        <v>Costa Rica(0.886)</v>
      </c>
      <c r="M13" s="2" t="str">
        <f t="shared" si="0"/>
        <v>Poland(68.700)</v>
      </c>
      <c r="N13" s="2" t="str">
        <f t="shared" si="0"/>
        <v>Guatemala(0.865)</v>
      </c>
      <c r="O13" s="2" t="str">
        <f t="shared" si="0"/>
        <v>North Macedonia(0.458)</v>
      </c>
      <c r="P13" s="2" t="str">
        <f t="shared" si="0"/>
        <v>Senegal(0.840)</v>
      </c>
      <c r="Q13" s="2" t="str">
        <f t="shared" si="0"/>
        <v>Uzbekistan(0.732)</v>
      </c>
      <c r="R13" s="2" t="str">
        <f t="shared" si="0"/>
        <v>Cameroon(0.354)</v>
      </c>
    </row>
    <row r="14" spans="1:18" x14ac:dyDescent="0.35">
      <c r="A14" s="4" t="s">
        <v>1148</v>
      </c>
      <c r="B14" s="4" t="s">
        <v>12</v>
      </c>
      <c r="C14" s="4" t="s">
        <v>152</v>
      </c>
      <c r="D14" s="4" t="s">
        <v>297</v>
      </c>
      <c r="E14" s="4" t="s">
        <v>437</v>
      </c>
      <c r="F14" s="4" t="s">
        <v>580</v>
      </c>
      <c r="G14" s="2" t="s">
        <v>723</v>
      </c>
      <c r="H14" s="4" t="s">
        <v>862</v>
      </c>
      <c r="I14" s="4" t="s">
        <v>1005</v>
      </c>
      <c r="J14" s="2" t="str">
        <f t="shared" si="1"/>
        <v>Spain(6.421)</v>
      </c>
      <c r="K14" s="2" t="str">
        <f t="shared" si="0"/>
        <v>Poland( 36,321)</v>
      </c>
      <c r="L14" s="2" t="str">
        <f t="shared" si="0"/>
        <v>Argentina(0.889)</v>
      </c>
      <c r="M14" s="2" t="str">
        <f t="shared" si="0"/>
        <v>Czechia(68.800)</v>
      </c>
      <c r="N14" s="2" t="str">
        <f t="shared" si="0"/>
        <v>Kosovo(0.868)</v>
      </c>
      <c r="O14" s="2" t="str">
        <f t="shared" si="0"/>
        <v>Ethiopia(0.474)</v>
      </c>
      <c r="P14" s="2" t="str">
        <f t="shared" si="0"/>
        <v>Kenya(0.840)</v>
      </c>
      <c r="Q14" s="2" t="str">
        <f t="shared" si="0"/>
        <v>Switzerland(0.734)</v>
      </c>
      <c r="R14" s="2" t="str">
        <f t="shared" si="0"/>
        <v>Brazil(0.354)</v>
      </c>
    </row>
    <row r="15" spans="1:18" x14ac:dyDescent="0.35">
      <c r="A15" s="4" t="s">
        <v>1149</v>
      </c>
      <c r="B15" s="4" t="s">
        <v>13</v>
      </c>
      <c r="C15" s="4" t="s">
        <v>153</v>
      </c>
      <c r="D15" s="4" t="s">
        <v>298</v>
      </c>
      <c r="E15" s="4" t="s">
        <v>438</v>
      </c>
      <c r="F15" s="4" t="s">
        <v>581</v>
      </c>
      <c r="G15" s="2" t="s">
        <v>724</v>
      </c>
      <c r="H15" s="4" t="s">
        <v>863</v>
      </c>
      <c r="I15" s="4" t="s">
        <v>1006</v>
      </c>
      <c r="J15" s="2" t="str">
        <f t="shared" si="1"/>
        <v>Poland(6.442)</v>
      </c>
      <c r="K15" s="2" t="str">
        <f t="shared" si="0"/>
        <v>Estonia( 37,822)</v>
      </c>
      <c r="L15" s="2" t="str">
        <f t="shared" si="0"/>
        <v>Germany(0.893)</v>
      </c>
      <c r="M15" s="2" t="str">
        <f t="shared" si="0"/>
        <v>Colombia(69.000)</v>
      </c>
      <c r="N15" s="2" t="str">
        <f t="shared" si="0"/>
        <v>Bahrain(0.870)</v>
      </c>
      <c r="O15" s="2" t="str">
        <f t="shared" si="0"/>
        <v>Serbia(0.482)</v>
      </c>
      <c r="P15" s="2" t="str">
        <f t="shared" si="0"/>
        <v>Czechia(0.841)</v>
      </c>
      <c r="Q15" s="2" t="str">
        <f t="shared" si="0"/>
        <v>Kuwait(0.734)</v>
      </c>
      <c r="R15" s="2" t="str">
        <f t="shared" si="0"/>
        <v>Mauritania(0.360)</v>
      </c>
    </row>
    <row r="16" spans="1:18" x14ac:dyDescent="0.35">
      <c r="A16" s="4" t="s">
        <v>1150</v>
      </c>
      <c r="B16" s="4" t="s">
        <v>14</v>
      </c>
      <c r="C16" s="4" t="s">
        <v>154</v>
      </c>
      <c r="D16" s="4" t="s">
        <v>299</v>
      </c>
      <c r="E16" s="4" t="s">
        <v>439</v>
      </c>
      <c r="F16" s="4" t="s">
        <v>582</v>
      </c>
      <c r="G16" s="2" t="s">
        <v>725</v>
      </c>
      <c r="H16" s="4" t="s">
        <v>864</v>
      </c>
      <c r="I16" s="4" t="s">
        <v>1007</v>
      </c>
      <c r="J16" s="2" t="str">
        <f t="shared" si="1"/>
        <v>Estonia(6.448)</v>
      </c>
      <c r="K16" s="2" t="str">
        <f t="shared" si="0"/>
        <v>Lithuania( 39,349)</v>
      </c>
      <c r="L16" s="2" t="str">
        <f t="shared" si="0"/>
        <v>Ireland(0.893)</v>
      </c>
      <c r="M16" s="2" t="str">
        <f t="shared" si="0"/>
        <v>Albania(69.100)</v>
      </c>
      <c r="N16" s="2" t="str">
        <f t="shared" si="0"/>
        <v>Singapore(0.871)</v>
      </c>
      <c r="O16" s="2" t="str">
        <f t="shared" si="0"/>
        <v>Czechia(0.486)</v>
      </c>
      <c r="P16" s="2" t="str">
        <f t="shared" si="0"/>
        <v>Hungary(0.842)</v>
      </c>
      <c r="Q16" s="2" t="str">
        <f t="shared" si="0"/>
        <v>Luxembourg(0.735)</v>
      </c>
      <c r="R16" s="2" t="str">
        <f t="shared" si="0"/>
        <v>Pakistan(0.364)</v>
      </c>
    </row>
    <row r="17" spans="1:18" x14ac:dyDescent="0.35">
      <c r="A17" s="4" t="s">
        <v>1151</v>
      </c>
      <c r="B17" s="4" t="s">
        <v>15</v>
      </c>
      <c r="C17" s="4" t="s">
        <v>155</v>
      </c>
      <c r="D17" s="4" t="s">
        <v>300</v>
      </c>
      <c r="E17" s="4" t="s">
        <v>440</v>
      </c>
      <c r="F17" s="4" t="s">
        <v>583</v>
      </c>
      <c r="G17" s="2" t="s">
        <v>726</v>
      </c>
      <c r="H17" s="4" t="s">
        <v>865</v>
      </c>
      <c r="I17" s="4" t="s">
        <v>1008</v>
      </c>
      <c r="J17" s="2" t="str">
        <f t="shared" si="1"/>
        <v>El Salvador(6.469)</v>
      </c>
      <c r="K17" s="2" t="str">
        <f t="shared" si="0"/>
        <v>Spain( 39,406)</v>
      </c>
      <c r="L17" s="2" t="str">
        <f t="shared" si="0"/>
        <v>Serbia(0.893)</v>
      </c>
      <c r="M17" s="2" t="str">
        <f t="shared" si="0"/>
        <v>Estonia(69.200)</v>
      </c>
      <c r="N17" s="2" t="str">
        <f t="shared" si="0"/>
        <v>New Zealand(0.872)</v>
      </c>
      <c r="O17" s="2" t="str">
        <f t="shared" si="0"/>
        <v>Belgium(0.492)</v>
      </c>
      <c r="P17" s="2" t="str">
        <f t="shared" si="0"/>
        <v>Paraguay(0.845)</v>
      </c>
      <c r="Q17" s="2" t="str">
        <f t="shared" si="0"/>
        <v>Cambodia(0.736)</v>
      </c>
      <c r="R17" s="2" t="str">
        <f t="shared" si="0"/>
        <v>Gambia(0.366)</v>
      </c>
    </row>
    <row r="18" spans="1:18" x14ac:dyDescent="0.35">
      <c r="A18" s="4" t="s">
        <v>1152</v>
      </c>
      <c r="B18" s="4" t="s">
        <v>16</v>
      </c>
      <c r="C18" s="4" t="s">
        <v>156</v>
      </c>
      <c r="D18" s="4" t="s">
        <v>301</v>
      </c>
      <c r="E18" s="4" t="s">
        <v>441</v>
      </c>
      <c r="F18" s="4" t="s">
        <v>584</v>
      </c>
      <c r="G18" s="2" t="s">
        <v>727</v>
      </c>
      <c r="H18" s="4" t="s">
        <v>866</v>
      </c>
      <c r="I18" s="4" t="s">
        <v>1009</v>
      </c>
      <c r="J18" s="2" t="str">
        <f t="shared" si="1"/>
        <v>Romania(6.491)</v>
      </c>
      <c r="K18" s="2" t="str">
        <f t="shared" ref="K18:K81" si="2">MID(B18,FIND(" ",B18)+1,LEN(B18)-FIND(" ",B18))</f>
        <v>Czechia( 41,371)</v>
      </c>
      <c r="L18" s="2" t="str">
        <f t="shared" ref="L18:L81" si="3">MID(C18,FIND(" ",C18)+1,LEN(C18)-FIND(" ",C18))</f>
        <v>United States(0.893)</v>
      </c>
      <c r="M18" s="2" t="str">
        <f t="shared" ref="M18:M81" si="4">MID(D18,FIND(" ",D18)+1,LEN(D18)-FIND(" ",D18))</f>
        <v>Peru(69.500)</v>
      </c>
      <c r="N18" s="2" t="str">
        <f t="shared" ref="N18:N81" si="5">MID(E18,FIND(" ",E18)+1,LEN(E18)-FIND(" ",E18))</f>
        <v>Thailand(0.880)</v>
      </c>
      <c r="O18" s="2" t="str">
        <f t="shared" ref="O18:O81" si="6">MID(F18,FIND(" ",F18)+1,LEN(F18)-FIND(" ",F18))</f>
        <v>Luxembourg(0.495)</v>
      </c>
      <c r="P18" s="2" t="str">
        <f t="shared" ref="P18:P81" si="7">MID(G18,FIND(" ",G18)+1,LEN(G18)-FIND(" ",G18))</f>
        <v>Namibia(0.850)</v>
      </c>
      <c r="Q18" s="2" t="str">
        <f t="shared" ref="Q18:Q81" si="8">MID(H18,FIND(" ",H18)+1,LEN(H18)-FIND(" ",H18))</f>
        <v>Czechia(0.736)</v>
      </c>
      <c r="R18" s="2" t="str">
        <f t="shared" ref="R18:R81" si="9">MID(I18,FIND(" ",I18)+1,LEN(I18)-FIND(" ",I18))</f>
        <v>Madagascar(0.366)</v>
      </c>
    </row>
    <row r="19" spans="1:18" x14ac:dyDescent="0.35">
      <c r="A19" s="4" t="s">
        <v>1153</v>
      </c>
      <c r="B19" s="4" t="s">
        <v>17</v>
      </c>
      <c r="C19" s="4" t="s">
        <v>157</v>
      </c>
      <c r="D19" s="4" t="s">
        <v>302</v>
      </c>
      <c r="E19" s="4" t="s">
        <v>442</v>
      </c>
      <c r="F19" s="4" t="s">
        <v>585</v>
      </c>
      <c r="G19" s="2" t="s">
        <v>728</v>
      </c>
      <c r="H19" s="4" t="s">
        <v>867</v>
      </c>
      <c r="I19" s="4" t="s">
        <v>1010</v>
      </c>
      <c r="J19" s="2" t="str">
        <f t="shared" si="1"/>
        <v>Taiwan Province of China(6.503)</v>
      </c>
      <c r="K19" s="2" t="str">
        <f t="shared" si="2"/>
        <v>Slovenia( 41,658)</v>
      </c>
      <c r="L19" s="2" t="str">
        <f t="shared" si="3"/>
        <v>Panama(0.893)</v>
      </c>
      <c r="M19" s="2" t="str">
        <f t="shared" si="4"/>
        <v>Costa Rica(70.000)</v>
      </c>
      <c r="N19" s="2" t="str">
        <f t="shared" si="5"/>
        <v>Australia(0.880)</v>
      </c>
      <c r="O19" s="2" t="str">
        <f t="shared" si="6"/>
        <v>Germany(0.498)</v>
      </c>
      <c r="P19" s="2" t="str">
        <f t="shared" si="7"/>
        <v>Bolivia(0.851)</v>
      </c>
      <c r="Q19" s="2" t="str">
        <f t="shared" si="8"/>
        <v>Canada(0.736)</v>
      </c>
      <c r="R19" s="2" t="str">
        <f t="shared" si="9"/>
        <v>Malta(0.369)</v>
      </c>
    </row>
    <row r="20" spans="1:18" x14ac:dyDescent="0.35">
      <c r="A20" s="4" t="s">
        <v>1154</v>
      </c>
      <c r="B20" s="4" t="s">
        <v>18</v>
      </c>
      <c r="C20" s="4" t="s">
        <v>158</v>
      </c>
      <c r="D20" s="4" t="s">
        <v>303</v>
      </c>
      <c r="E20" s="4" t="s">
        <v>443</v>
      </c>
      <c r="F20" s="4" t="s">
        <v>586</v>
      </c>
      <c r="G20" s="2" t="s">
        <v>729</v>
      </c>
      <c r="H20" s="4" t="s">
        <v>868</v>
      </c>
      <c r="I20" s="4" t="s">
        <v>1011</v>
      </c>
      <c r="J20" s="2" t="str">
        <f t="shared" si="1"/>
        <v>Singapore(6.523)</v>
      </c>
      <c r="K20" s="2" t="str">
        <f t="shared" si="2"/>
        <v>Japan( 41,672)</v>
      </c>
      <c r="L20" s="2" t="str">
        <f t="shared" si="3"/>
        <v>Uzbekistan(0.894)</v>
      </c>
      <c r="M20" s="2" t="str">
        <f t="shared" si="4"/>
        <v>Chile(70.000)</v>
      </c>
      <c r="N20" s="2" t="str">
        <f t="shared" si="5"/>
        <v>Portugal(0.881)</v>
      </c>
      <c r="O20" s="2" t="str">
        <f t="shared" si="6"/>
        <v>Switzerland(0.516)</v>
      </c>
      <c r="P20" s="2" t="str">
        <f t="shared" si="7"/>
        <v>Cameroon(0.851)</v>
      </c>
      <c r="Q20" s="2" t="str">
        <f t="shared" si="8"/>
        <v>Finland(0.736)</v>
      </c>
      <c r="R20" s="2" t="str">
        <f t="shared" si="9"/>
        <v>State of Palestine(0.370)</v>
      </c>
    </row>
    <row r="21" spans="1:18" x14ac:dyDescent="0.35">
      <c r="A21" s="4" t="s">
        <v>1155</v>
      </c>
      <c r="B21" s="4" t="s">
        <v>19</v>
      </c>
      <c r="C21" s="4" t="s">
        <v>159</v>
      </c>
      <c r="D21" s="4" t="s">
        <v>304</v>
      </c>
      <c r="E21" s="4" t="s">
        <v>444</v>
      </c>
      <c r="F21" s="4" t="s">
        <v>587</v>
      </c>
      <c r="G21" s="2" t="s">
        <v>730</v>
      </c>
      <c r="H21" s="4" t="s">
        <v>869</v>
      </c>
      <c r="I21" s="4" t="s">
        <v>1012</v>
      </c>
      <c r="J21" s="2" t="str">
        <f t="shared" si="1"/>
        <v>Kosovo(6.561)</v>
      </c>
      <c r="K21" s="2" t="str">
        <f t="shared" si="2"/>
        <v>Cyprus( 42,647)</v>
      </c>
      <c r="L21" s="2" t="str">
        <f t="shared" si="3"/>
        <v>Paraguay(0.900)</v>
      </c>
      <c r="M21" s="2" t="str">
        <f t="shared" si="4"/>
        <v>Kuwait(70.100)</v>
      </c>
      <c r="N21" s="2" t="str">
        <f t="shared" si="5"/>
        <v>Ireland(0.881)</v>
      </c>
      <c r="O21" s="2" t="str">
        <f t="shared" si="6"/>
        <v>Uzbekistan(0.521)</v>
      </c>
      <c r="P21" s="2" t="str">
        <f t="shared" si="7"/>
        <v>Colombia(0.854)</v>
      </c>
      <c r="Q21" s="2" t="str">
        <f t="shared" si="8"/>
        <v>Venezuela(0.737)</v>
      </c>
      <c r="R21" s="2" t="str">
        <f t="shared" si="9"/>
        <v>Ecuador(0.371)</v>
      </c>
    </row>
    <row r="22" spans="1:18" x14ac:dyDescent="0.35">
      <c r="A22" s="4" t="s">
        <v>1156</v>
      </c>
      <c r="B22" s="4" t="s">
        <v>20</v>
      </c>
      <c r="C22" s="4" t="s">
        <v>160</v>
      </c>
      <c r="D22" s="4" t="s">
        <v>305</v>
      </c>
      <c r="E22" s="4" t="s">
        <v>445</v>
      </c>
      <c r="F22" s="4" t="s">
        <v>588</v>
      </c>
      <c r="G22" s="2" t="s">
        <v>731</v>
      </c>
      <c r="H22" s="4" t="s">
        <v>870</v>
      </c>
      <c r="I22" s="4" t="s">
        <v>1013</v>
      </c>
      <c r="J22" s="2" t="str">
        <f t="shared" si="1"/>
        <v>Saudi Arabia(6.594)</v>
      </c>
      <c r="K22" s="2" t="str">
        <f t="shared" si="2"/>
        <v>Italy( 43,429)</v>
      </c>
      <c r="L22" s="2" t="str">
        <f t="shared" si="3"/>
        <v>Poland(0.903)</v>
      </c>
      <c r="M22" s="2" t="str">
        <f t="shared" si="4"/>
        <v>United Kingdom(70.100)</v>
      </c>
      <c r="N22" s="2" t="str">
        <f t="shared" si="5"/>
        <v>Switzerland(0.882)</v>
      </c>
      <c r="O22" s="2" t="str">
        <f t="shared" si="6"/>
        <v>Mongolia(0.521)</v>
      </c>
      <c r="P22" s="2" t="str">
        <f t="shared" si="7"/>
        <v>Slovakia(0.855)</v>
      </c>
      <c r="Q22" s="2" t="str">
        <f t="shared" si="8"/>
        <v>Ireland(0.737)</v>
      </c>
      <c r="R22" s="2" t="str">
        <f t="shared" si="9"/>
        <v>Peru(0.372)</v>
      </c>
    </row>
    <row r="23" spans="1:18" x14ac:dyDescent="0.35">
      <c r="A23" s="4" t="s">
        <v>1157</v>
      </c>
      <c r="B23" s="4" t="s">
        <v>21</v>
      </c>
      <c r="C23" s="4" t="s">
        <v>161</v>
      </c>
      <c r="D23" s="4" t="s">
        <v>306</v>
      </c>
      <c r="E23" s="4" t="s">
        <v>446</v>
      </c>
      <c r="F23" s="4" t="s">
        <v>589</v>
      </c>
      <c r="G23" s="2" t="s">
        <v>732</v>
      </c>
      <c r="H23" s="4" t="s">
        <v>871</v>
      </c>
      <c r="I23" s="4" t="s">
        <v>1014</v>
      </c>
      <c r="J23" s="2" t="str">
        <f t="shared" si="1"/>
        <v>France(6.609)</v>
      </c>
      <c r="K23" s="2" t="str">
        <f t="shared" si="2"/>
        <v>Israel( 43,776)</v>
      </c>
      <c r="L23" s="2" t="str">
        <f t="shared" si="3"/>
        <v>Switzerland(0.906)</v>
      </c>
      <c r="M23" s="2" t="str">
        <f t="shared" si="4"/>
        <v>New Zealand(70.200)</v>
      </c>
      <c r="N23" s="2" t="str">
        <f t="shared" si="5"/>
        <v>India(0.888)</v>
      </c>
      <c r="O23" s="2" t="str">
        <f t="shared" si="6"/>
        <v>Iran(0.534)</v>
      </c>
      <c r="P23" s="2" t="str">
        <f t="shared" si="7"/>
        <v>Mongolia(0.858)</v>
      </c>
      <c r="Q23" s="2" t="str">
        <f t="shared" si="8"/>
        <v>Kenya(0.742)</v>
      </c>
      <c r="R23" s="2" t="str">
        <f t="shared" si="9"/>
        <v>Comoros(0.378)</v>
      </c>
    </row>
    <row r="24" spans="1:18" x14ac:dyDescent="0.35">
      <c r="A24" s="4" t="s">
        <v>1158</v>
      </c>
      <c r="B24" s="4" t="s">
        <v>22</v>
      </c>
      <c r="C24" s="4" t="s">
        <v>162</v>
      </c>
      <c r="D24" s="4" t="s">
        <v>307</v>
      </c>
      <c r="E24" s="4" t="s">
        <v>447</v>
      </c>
      <c r="F24" s="4" t="s">
        <v>590</v>
      </c>
      <c r="G24" s="2" t="s">
        <v>733</v>
      </c>
      <c r="H24" s="4" t="s">
        <v>872</v>
      </c>
      <c r="I24" s="4" t="s">
        <v>1015</v>
      </c>
      <c r="J24" s="2" t="str">
        <f t="shared" si="1"/>
        <v>Uruguay(6.611)</v>
      </c>
      <c r="K24" s="2" t="str">
        <f t="shared" si="2"/>
        <v>New Zealand( 44,715)</v>
      </c>
      <c r="L24" s="2" t="str">
        <f t="shared" si="3"/>
        <v>Uruguay(0.909)</v>
      </c>
      <c r="M24" s="2" t="str">
        <f t="shared" si="4"/>
        <v>Belgium(70.600)</v>
      </c>
      <c r="N24" s="2" t="str">
        <f t="shared" si="5"/>
        <v>Bangladesh(0.894)</v>
      </c>
      <c r="O24" s="2" t="str">
        <f t="shared" si="6"/>
        <v>Kenya(0.547)</v>
      </c>
      <c r="P24" s="2" t="str">
        <f t="shared" si="7"/>
        <v>Indonesia(0.859)</v>
      </c>
      <c r="Q24" s="2" t="str">
        <f t="shared" si="8"/>
        <v>Bolivia(0.743)</v>
      </c>
      <c r="R24" s="2" t="str">
        <f t="shared" si="9"/>
        <v>Libya(0.386)</v>
      </c>
    </row>
    <row r="25" spans="1:18" x14ac:dyDescent="0.35">
      <c r="A25" s="4" t="s">
        <v>1159</v>
      </c>
      <c r="B25" s="4" t="s">
        <v>23</v>
      </c>
      <c r="C25" s="4" t="s">
        <v>163</v>
      </c>
      <c r="D25" s="4" t="s">
        <v>308</v>
      </c>
      <c r="E25" s="4" t="s">
        <v>448</v>
      </c>
      <c r="F25" s="4" t="s">
        <v>591</v>
      </c>
      <c r="G25" s="2" t="s">
        <v>734</v>
      </c>
      <c r="H25" s="4" t="s">
        <v>873</v>
      </c>
      <c r="I25" s="4" t="s">
        <v>1016</v>
      </c>
      <c r="J25" s="2" t="str">
        <f t="shared" si="1"/>
        <v>Mexico(6.678)</v>
      </c>
      <c r="K25" s="2" t="str">
        <f t="shared" si="2"/>
        <v>South Korea( 45,313)</v>
      </c>
      <c r="L25" s="2" t="str">
        <f t="shared" si="3"/>
        <v>Belgium(0.912)</v>
      </c>
      <c r="M25" s="2" t="str">
        <f t="shared" si="4"/>
        <v>Slovenia(70.700)</v>
      </c>
      <c r="N25" s="2" t="str">
        <f t="shared" si="5"/>
        <v>Uruguay(0.894)</v>
      </c>
      <c r="O25" s="2" t="str">
        <f t="shared" si="6"/>
        <v>Kuwait(0.548)</v>
      </c>
      <c r="P25" s="2" t="str">
        <f t="shared" si="7"/>
        <v>Uganda(0.860)</v>
      </c>
      <c r="Q25" s="2" t="str">
        <f t="shared" si="8"/>
        <v>South Africa(0.747)</v>
      </c>
      <c r="R25" s="2" t="str">
        <f t="shared" si="9"/>
        <v>Mali(0.388)</v>
      </c>
    </row>
    <row r="26" spans="1:18" x14ac:dyDescent="0.35">
      <c r="A26" s="4" t="s">
        <v>1160</v>
      </c>
      <c r="B26" s="4" t="s">
        <v>24</v>
      </c>
      <c r="C26" s="4" t="s">
        <v>164</v>
      </c>
      <c r="D26" s="4" t="s">
        <v>309</v>
      </c>
      <c r="E26" s="4" t="s">
        <v>449</v>
      </c>
      <c r="F26" s="4" t="s">
        <v>592</v>
      </c>
      <c r="G26" s="2" t="s">
        <v>735</v>
      </c>
      <c r="H26" s="4" t="s">
        <v>874</v>
      </c>
      <c r="I26" s="4" t="s">
        <v>1017</v>
      </c>
      <c r="J26" s="2" t="str">
        <f t="shared" si="1"/>
        <v>Germany(6.719)</v>
      </c>
      <c r="K26" s="2" t="str">
        <f t="shared" si="2"/>
        <v>France( 45,750)</v>
      </c>
      <c r="L26" s="2" t="str">
        <f t="shared" si="3"/>
        <v>Malta(0.914)</v>
      </c>
      <c r="M26" s="2" t="str">
        <f t="shared" si="4"/>
        <v>Australia(70.900)</v>
      </c>
      <c r="N26" s="2" t="str">
        <f t="shared" si="5"/>
        <v>Indonesia(0.897)</v>
      </c>
      <c r="O26" s="2" t="str">
        <f t="shared" si="6"/>
        <v>Kosovo(0.557)</v>
      </c>
      <c r="P26" s="2" t="str">
        <f t="shared" si="7"/>
        <v>Sierra Leone(0.861)</v>
      </c>
      <c r="Q26" s="2" t="str">
        <f t="shared" si="8"/>
        <v>Sweden(0.751)</v>
      </c>
      <c r="R26" s="2" t="str">
        <f t="shared" si="9"/>
        <v>Morocco(0.389)</v>
      </c>
    </row>
    <row r="27" spans="1:18" x14ac:dyDescent="0.35">
      <c r="A27" s="4" t="s">
        <v>1161</v>
      </c>
      <c r="B27" s="4" t="s">
        <v>25</v>
      </c>
      <c r="C27" s="4" t="s">
        <v>165</v>
      </c>
      <c r="D27" s="4" t="s">
        <v>310</v>
      </c>
      <c r="E27" s="4" t="s">
        <v>450</v>
      </c>
      <c r="F27" s="4" t="s">
        <v>593</v>
      </c>
      <c r="G27" s="2" t="s">
        <v>736</v>
      </c>
      <c r="H27" s="4" t="s">
        <v>875</v>
      </c>
      <c r="I27" s="4" t="s">
        <v>1018</v>
      </c>
      <c r="J27" s="2" t="str">
        <f t="shared" si="1"/>
        <v>United States(6.725)</v>
      </c>
      <c r="K27" s="2" t="str">
        <f t="shared" si="2"/>
        <v>United Kingdom( 46,260)</v>
      </c>
      <c r="L27" s="2" t="str">
        <f t="shared" si="3"/>
        <v>Croatia(0.914)</v>
      </c>
      <c r="M27" s="2" t="str">
        <f t="shared" si="4"/>
        <v>Greece(70.900)</v>
      </c>
      <c r="N27" s="2" t="str">
        <f t="shared" si="5"/>
        <v>Czechia(0.902)</v>
      </c>
      <c r="O27" s="2" t="str">
        <f t="shared" si="6"/>
        <v>Malaysia(0.558)</v>
      </c>
      <c r="P27" s="2" t="str">
        <f t="shared" si="7"/>
        <v>Cyprus(0.867)</v>
      </c>
      <c r="Q27" s="2" t="str">
        <f t="shared" si="8"/>
        <v>Malaysia(0.752)</v>
      </c>
      <c r="R27" s="2" t="str">
        <f t="shared" si="9"/>
        <v>Cambodia(0.390)</v>
      </c>
    </row>
    <row r="28" spans="1:18" x14ac:dyDescent="0.35">
      <c r="A28" s="4" t="s">
        <v>1162</v>
      </c>
      <c r="B28" s="4" t="s">
        <v>26</v>
      </c>
      <c r="C28" s="4" t="s">
        <v>166</v>
      </c>
      <c r="D28" s="4" t="s">
        <v>311</v>
      </c>
      <c r="E28" s="4" t="s">
        <v>451</v>
      </c>
      <c r="F28" s="4" t="s">
        <v>594</v>
      </c>
      <c r="G28" s="2" t="s">
        <v>737</v>
      </c>
      <c r="H28" s="4" t="s">
        <v>876</v>
      </c>
      <c r="I28" s="4" t="s">
        <v>1019</v>
      </c>
      <c r="J28" s="2" t="str">
        <f t="shared" si="1"/>
        <v>United Arab Emirates(6.733)</v>
      </c>
      <c r="K28" s="2" t="str">
        <f t="shared" si="2"/>
        <v>Malta( 46,889)</v>
      </c>
      <c r="L28" s="2" t="str">
        <f t="shared" si="3"/>
        <v>Lithuania(0.917)</v>
      </c>
      <c r="M28" s="2" t="str">
        <f t="shared" si="4"/>
        <v>Austria(70.900)</v>
      </c>
      <c r="N28" s="2" t="str">
        <f t="shared" si="5"/>
        <v>Saudi Arabia(0.903)</v>
      </c>
      <c r="O28" s="2" t="str">
        <f t="shared" si="6"/>
        <v>Bosnia and Herzegovina(0.563)</v>
      </c>
      <c r="P28" s="2" t="str">
        <f t="shared" si="7"/>
        <v>Albania(0.867)</v>
      </c>
      <c r="Q28" s="2" t="str">
        <f t="shared" si="8"/>
        <v>Colombia(0.758)</v>
      </c>
      <c r="R28" s="2" t="str">
        <f t="shared" si="9"/>
        <v>Niger(0.392)</v>
      </c>
    </row>
    <row r="29" spans="1:18" x14ac:dyDescent="0.35">
      <c r="A29" s="4" t="s">
        <v>1163</v>
      </c>
      <c r="B29" s="4" t="s">
        <v>27</v>
      </c>
      <c r="C29" s="4" t="s">
        <v>167</v>
      </c>
      <c r="D29" s="4" t="s">
        <v>312</v>
      </c>
      <c r="E29" s="4" t="s">
        <v>452</v>
      </c>
      <c r="F29" s="4" t="s">
        <v>595</v>
      </c>
      <c r="G29" s="2" t="s">
        <v>738</v>
      </c>
      <c r="H29" s="4" t="s">
        <v>877</v>
      </c>
      <c r="I29" s="4" t="s">
        <v>1020</v>
      </c>
      <c r="J29" s="2" t="str">
        <f t="shared" si="1"/>
        <v>Slovenia(6.743)</v>
      </c>
      <c r="K29" s="2" t="str">
        <f t="shared" si="2"/>
        <v>Canada( 48,637)</v>
      </c>
      <c r="L29" s="2" t="str">
        <f t="shared" si="3"/>
        <v>Kazakhstan(0.919)</v>
      </c>
      <c r="M29" s="2" t="str">
        <f t="shared" si="4"/>
        <v>Germany(70.900)</v>
      </c>
      <c r="N29" s="2" t="str">
        <f t="shared" si="5"/>
        <v>Paraguay(0.903)</v>
      </c>
      <c r="O29" s="2" t="str">
        <f t="shared" si="6"/>
        <v>Denmark(0.566)</v>
      </c>
      <c r="P29" s="2" t="str">
        <f t="shared" si="7"/>
        <v>Iraq(0.869)</v>
      </c>
      <c r="Q29" s="2" t="str">
        <f t="shared" si="8"/>
        <v>Uruguay(0.759)</v>
      </c>
      <c r="R29" s="2" t="str">
        <f t="shared" si="9"/>
        <v>Uganda(0.393)</v>
      </c>
    </row>
    <row r="30" spans="1:18" x14ac:dyDescent="0.35">
      <c r="A30" s="4" t="s">
        <v>1164</v>
      </c>
      <c r="B30" s="4" t="s">
        <v>28</v>
      </c>
      <c r="C30" s="4" t="s">
        <v>168</v>
      </c>
      <c r="D30" s="4" t="s">
        <v>313</v>
      </c>
      <c r="E30" s="4" t="s">
        <v>453</v>
      </c>
      <c r="F30" s="4" t="s">
        <v>596</v>
      </c>
      <c r="G30" s="2" t="s">
        <v>739</v>
      </c>
      <c r="H30" s="4" t="s">
        <v>878</v>
      </c>
      <c r="I30" s="4" t="s">
        <v>1021</v>
      </c>
      <c r="J30" s="2" t="str">
        <f t="shared" si="1"/>
        <v>United Kingdom(6.749)</v>
      </c>
      <c r="K30" s="2" t="str">
        <f t="shared" si="2"/>
        <v>Saudi Arabia( 49,011)</v>
      </c>
      <c r="L30" s="2" t="str">
        <f t="shared" si="3"/>
        <v>Canada(0.919)</v>
      </c>
      <c r="M30" s="2" t="str">
        <f t="shared" si="4"/>
        <v>Denmark(71.000)</v>
      </c>
      <c r="N30" s="2" t="str">
        <f t="shared" si="5"/>
        <v>Slovenia(0.904)</v>
      </c>
      <c r="O30" s="2" t="str">
        <f t="shared" si="6"/>
        <v>Bahrain(0.570)</v>
      </c>
      <c r="P30" s="2" t="str">
        <f t="shared" si="7"/>
        <v>Gambia(0.869)</v>
      </c>
      <c r="Q30" s="2" t="str">
        <f t="shared" si="8"/>
        <v>Ecuador(0.761)</v>
      </c>
      <c r="R30" s="2" t="str">
        <f t="shared" si="9"/>
        <v>Eswatini(0.395)</v>
      </c>
    </row>
    <row r="31" spans="1:18" x14ac:dyDescent="0.35">
      <c r="A31" s="4" t="s">
        <v>1165</v>
      </c>
      <c r="B31" s="4" t="s">
        <v>29</v>
      </c>
      <c r="C31" s="4" t="s">
        <v>169</v>
      </c>
      <c r="D31" s="4" t="s">
        <v>314</v>
      </c>
      <c r="E31" s="4" t="s">
        <v>454</v>
      </c>
      <c r="F31" s="4" t="s">
        <v>597</v>
      </c>
      <c r="G31" s="2" t="s">
        <v>740</v>
      </c>
      <c r="H31" s="4" t="s">
        <v>879</v>
      </c>
      <c r="I31" s="4" t="s">
        <v>1022</v>
      </c>
      <c r="J31" s="2" t="str">
        <f t="shared" si="1"/>
        <v>Lithuania(6.818)</v>
      </c>
      <c r="K31" s="2" t="str">
        <f t="shared" si="2"/>
        <v>Finland( 49,244)</v>
      </c>
      <c r="L31" s="2" t="str">
        <f t="shared" si="3"/>
        <v>Australia(0.920)</v>
      </c>
      <c r="M31" s="2" t="str">
        <f t="shared" si="4"/>
        <v>Finland(71.000)</v>
      </c>
      <c r="N31" s="2" t="str">
        <f t="shared" si="5"/>
        <v>Nicaragua(0.907)</v>
      </c>
      <c r="O31" s="2" t="str">
        <f t="shared" si="6"/>
        <v>Gambia(0.577)</v>
      </c>
      <c r="P31" s="2" t="str">
        <f t="shared" si="7"/>
        <v>Moldova(0.873)</v>
      </c>
      <c r="Q31" s="2" t="str">
        <f t="shared" si="8"/>
        <v>Norway(0.762)</v>
      </c>
      <c r="R31" s="2" t="str">
        <f t="shared" si="9"/>
        <v>Togo(0.399)</v>
      </c>
    </row>
    <row r="32" spans="1:18" x14ac:dyDescent="0.35">
      <c r="A32" s="4" t="s">
        <v>1166</v>
      </c>
      <c r="B32" s="4" t="s">
        <v>30</v>
      </c>
      <c r="C32" s="4" t="s">
        <v>170</v>
      </c>
      <c r="D32" s="4" t="s">
        <v>315</v>
      </c>
      <c r="E32" s="4" t="s">
        <v>455</v>
      </c>
      <c r="F32" s="4" t="s">
        <v>598</v>
      </c>
      <c r="G32" s="2" t="s">
        <v>741</v>
      </c>
      <c r="H32" s="4" t="s">
        <v>880</v>
      </c>
      <c r="I32" s="4" t="s">
        <v>1023</v>
      </c>
      <c r="J32" s="2" t="str">
        <f t="shared" si="1"/>
        <v>Czechia(6.822)</v>
      </c>
      <c r="K32" s="2" t="str">
        <f t="shared" si="2"/>
        <v>Kuwait( 49,388)</v>
      </c>
      <c r="L32" s="2" t="str">
        <f t="shared" si="3"/>
        <v>Netherlands(0.921)</v>
      </c>
      <c r="M32" s="2" t="str">
        <f t="shared" si="4"/>
        <v>Portugal(71.000)</v>
      </c>
      <c r="N32" s="2" t="str">
        <f t="shared" si="5"/>
        <v>Laos(0.909)</v>
      </c>
      <c r="O32" s="2" t="str">
        <f t="shared" si="6"/>
        <v>Austria(0.582)</v>
      </c>
      <c r="P32" s="2" t="str">
        <f t="shared" si="7"/>
        <v>Croatia(0.875)</v>
      </c>
      <c r="Q32" s="2" t="str">
        <f t="shared" si="8"/>
        <v>Chile(0.763)</v>
      </c>
      <c r="R32" s="2" t="str">
        <f t="shared" si="9"/>
        <v>Gabon(0.399)</v>
      </c>
    </row>
    <row r="33" spans="1:18" x14ac:dyDescent="0.35">
      <c r="A33" s="4" t="s">
        <v>1167</v>
      </c>
      <c r="B33" s="4" t="s">
        <v>31</v>
      </c>
      <c r="C33" s="4" t="s">
        <v>171</v>
      </c>
      <c r="D33" s="4" t="s">
        <v>316</v>
      </c>
      <c r="E33" s="4" t="s">
        <v>456</v>
      </c>
      <c r="F33" s="4" t="s">
        <v>599</v>
      </c>
      <c r="G33" s="2" t="s">
        <v>742</v>
      </c>
      <c r="H33" s="4" t="s">
        <v>881</v>
      </c>
      <c r="I33" s="4" t="s">
        <v>1024</v>
      </c>
      <c r="J33" s="2" t="str">
        <f t="shared" si="1"/>
        <v>Ireland(6.838)</v>
      </c>
      <c r="K33" s="2" t="str">
        <f t="shared" si="2"/>
        <v>Australia( 50,703)</v>
      </c>
      <c r="L33" s="2" t="str">
        <f t="shared" si="3"/>
        <v>Bulgaria(0.923)</v>
      </c>
      <c r="M33" s="2" t="str">
        <f t="shared" si="4"/>
        <v>Ireland(71.100)</v>
      </c>
      <c r="N33" s="2" t="str">
        <f t="shared" si="5"/>
        <v>Costa Rica(0.909)</v>
      </c>
      <c r="O33" s="2" t="str">
        <f t="shared" si="6"/>
        <v>Singapore(0.586)</v>
      </c>
      <c r="P33" s="2" t="str">
        <f t="shared" si="7"/>
        <v>Panama(0.876)</v>
      </c>
      <c r="Q33" s="2" t="str">
        <f t="shared" si="8"/>
        <v>Niger(0.764)</v>
      </c>
      <c r="R33" s="2" t="str">
        <f t="shared" si="9"/>
        <v>Bolivia(0.402)</v>
      </c>
    </row>
    <row r="34" spans="1:18" x14ac:dyDescent="0.35">
      <c r="A34" s="4" t="s">
        <v>1168</v>
      </c>
      <c r="B34" s="4" t="s">
        <v>32</v>
      </c>
      <c r="C34" s="4" t="s">
        <v>172</v>
      </c>
      <c r="D34" s="4" t="s">
        <v>317</v>
      </c>
      <c r="E34" s="4" t="s">
        <v>457</v>
      </c>
      <c r="F34" s="4" t="s">
        <v>600</v>
      </c>
      <c r="G34" s="2" t="s">
        <v>743</v>
      </c>
      <c r="H34" s="4" t="s">
        <v>882</v>
      </c>
      <c r="I34" s="4" t="s">
        <v>1025</v>
      </c>
      <c r="J34" s="2" t="str">
        <f t="shared" si="1"/>
        <v>Belgium(6.894)</v>
      </c>
      <c r="K34" s="2" t="str">
        <f t="shared" si="2"/>
        <v>Belgium( 52,743)</v>
      </c>
      <c r="L34" s="2" t="str">
        <f t="shared" si="3"/>
        <v>Spain(0.924)</v>
      </c>
      <c r="M34" s="2" t="str">
        <f t="shared" si="4"/>
        <v>Canada(71.300)</v>
      </c>
      <c r="N34" s="2" t="str">
        <f t="shared" si="5"/>
        <v>Luxembourg(0.913)</v>
      </c>
      <c r="O34" s="2" t="str">
        <f t="shared" si="6"/>
        <v>New Zealand(0.592)</v>
      </c>
      <c r="P34" s="2" t="str">
        <f t="shared" si="7"/>
        <v>Portugal(0.886)</v>
      </c>
      <c r="Q34" s="2" t="str">
        <f t="shared" si="8"/>
        <v>Estonia(0.765)</v>
      </c>
      <c r="R34" s="2" t="str">
        <f t="shared" si="9"/>
        <v>Turkiye(0.403)</v>
      </c>
    </row>
    <row r="35" spans="1:18" x14ac:dyDescent="0.35">
      <c r="A35" s="4" t="s">
        <v>1169</v>
      </c>
      <c r="B35" s="4" t="s">
        <v>33</v>
      </c>
      <c r="C35" s="4" t="s">
        <v>173</v>
      </c>
      <c r="D35" s="4" t="s">
        <v>318</v>
      </c>
      <c r="E35" s="4" t="s">
        <v>458</v>
      </c>
      <c r="F35" s="4" t="s">
        <v>601</v>
      </c>
      <c r="G35" s="2" t="s">
        <v>744</v>
      </c>
      <c r="H35" s="4" t="s">
        <v>883</v>
      </c>
      <c r="I35" s="4" t="s">
        <v>1026</v>
      </c>
      <c r="J35" s="2" t="str">
        <f t="shared" si="1"/>
        <v>Canada(6.900)</v>
      </c>
      <c r="K35" s="2" t="str">
        <f t="shared" si="2"/>
        <v>Bahrain( 52,937)</v>
      </c>
      <c r="L35" s="2" t="str">
        <f t="shared" si="3"/>
        <v>Kyrgyzstan(0.927)</v>
      </c>
      <c r="M35" s="2" t="str">
        <f t="shared" si="4"/>
        <v>Netherlands(71.400)</v>
      </c>
      <c r="N35" s="2" t="str">
        <f t="shared" si="5"/>
        <v>Estonia(0.916)</v>
      </c>
      <c r="O35" s="2" t="str">
        <f t="shared" si="6"/>
        <v>United Arab Emirates(0.596)</v>
      </c>
      <c r="P35" s="2" t="str">
        <f t="shared" si="7"/>
        <v>South Africa(0.887)</v>
      </c>
      <c r="Q35" s="2" t="str">
        <f t="shared" si="8"/>
        <v>Peru(0.769)</v>
      </c>
      <c r="R35" s="2" t="str">
        <f t="shared" si="9"/>
        <v>India(0.414)</v>
      </c>
    </row>
    <row r="36" spans="1:18" x14ac:dyDescent="0.35">
      <c r="A36" s="4" t="s">
        <v>1170</v>
      </c>
      <c r="B36" s="4" t="s">
        <v>34</v>
      </c>
      <c r="C36" s="4" t="s">
        <v>174</v>
      </c>
      <c r="D36" s="4" t="s">
        <v>319</v>
      </c>
      <c r="E36" s="4" t="s">
        <v>459</v>
      </c>
      <c r="F36" s="4" t="s">
        <v>602</v>
      </c>
      <c r="G36" s="2" t="s">
        <v>745</v>
      </c>
      <c r="H36" s="4" t="s">
        <v>884</v>
      </c>
      <c r="I36" s="4" t="s">
        <v>1027</v>
      </c>
      <c r="J36" s="2" t="str">
        <f t="shared" si="1"/>
        <v>Austria(6.905)</v>
      </c>
      <c r="K36" s="2" t="str">
        <f t="shared" si="2"/>
        <v>Germany( 53,243)</v>
      </c>
      <c r="L36" s="2" t="str">
        <f t="shared" si="3"/>
        <v>Sweden(0.936)</v>
      </c>
      <c r="M36" s="2" t="str">
        <f t="shared" si="4"/>
        <v>Norway(71.400)</v>
      </c>
      <c r="N36" s="2" t="str">
        <f t="shared" si="5"/>
        <v>United Arab Emirates(0.923)</v>
      </c>
      <c r="O36" s="2" t="str">
        <f t="shared" si="6"/>
        <v>Sweden(0.596)</v>
      </c>
      <c r="P36" s="2" t="str">
        <f t="shared" si="7"/>
        <v>Sri Lanka(0.892)</v>
      </c>
      <c r="Q36" s="2" t="str">
        <f t="shared" si="8"/>
        <v>Thailand(0.770)</v>
      </c>
      <c r="R36" s="2" t="str">
        <f t="shared" si="9"/>
        <v>Liberia(0.433)</v>
      </c>
    </row>
    <row r="37" spans="1:18" x14ac:dyDescent="0.35">
      <c r="A37" s="4" t="s">
        <v>1171</v>
      </c>
      <c r="B37" s="4" t="s">
        <v>35</v>
      </c>
      <c r="C37" s="4" t="s">
        <v>175</v>
      </c>
      <c r="D37" s="4" t="s">
        <v>320</v>
      </c>
      <c r="E37" s="4" t="s">
        <v>460</v>
      </c>
      <c r="F37" s="4" t="s">
        <v>603</v>
      </c>
      <c r="G37" s="2" t="s">
        <v>746</v>
      </c>
      <c r="H37" s="4" t="s">
        <v>885</v>
      </c>
      <c r="I37" s="4" t="s">
        <v>1028</v>
      </c>
      <c r="J37" s="2" t="str">
        <f t="shared" si="1"/>
        <v>Kuwait(6.951)</v>
      </c>
      <c r="K37" s="2" t="str">
        <f t="shared" si="2"/>
        <v>Sweden( 54,291)</v>
      </c>
      <c r="L37" s="2" t="str">
        <f t="shared" si="3"/>
        <v>Slovenia(0.936)</v>
      </c>
      <c r="M37" s="2" t="str">
        <f t="shared" si="4"/>
        <v>Malta(71.500)</v>
      </c>
      <c r="N37" s="2" t="str">
        <f t="shared" si="5"/>
        <v>El Salvador(0.924)</v>
      </c>
      <c r="O37" s="2" t="str">
        <f t="shared" si="6"/>
        <v>Australia(0.600)</v>
      </c>
      <c r="P37" s="2" t="str">
        <f t="shared" si="7"/>
        <v>Kyrgyzstan(0.893)</v>
      </c>
      <c r="Q37" s="2" t="str">
        <f t="shared" si="8"/>
        <v>Denmark(0.778)</v>
      </c>
      <c r="R37" s="2" t="str">
        <f t="shared" si="9"/>
        <v>Congo (Brazzaville)(0.434)</v>
      </c>
    </row>
    <row r="38" spans="1:18" x14ac:dyDescent="0.35">
      <c r="A38" s="4" t="s">
        <v>1172</v>
      </c>
      <c r="B38" s="4" t="s">
        <v>36</v>
      </c>
      <c r="C38" s="4" t="s">
        <v>176</v>
      </c>
      <c r="D38" s="4" t="s">
        <v>321</v>
      </c>
      <c r="E38" s="4" t="s">
        <v>461</v>
      </c>
      <c r="F38" s="4" t="s">
        <v>604</v>
      </c>
      <c r="G38" s="2" t="s">
        <v>747</v>
      </c>
      <c r="H38" s="4" t="s">
        <v>886</v>
      </c>
      <c r="I38" s="4" t="s">
        <v>1029</v>
      </c>
      <c r="J38" s="2" t="str">
        <f t="shared" si="1"/>
        <v>Costa Rica(6.955)</v>
      </c>
      <c r="K38" s="2" t="str">
        <f t="shared" si="2"/>
        <v>Iceland( 54,692)</v>
      </c>
      <c r="L38" s="2" t="str">
        <f t="shared" si="3"/>
        <v>Latvia(0.939)</v>
      </c>
      <c r="M38" s="2" t="str">
        <f t="shared" si="4"/>
        <v>Luxembourg(71.600)</v>
      </c>
      <c r="N38" s="2" t="str">
        <f t="shared" si="5"/>
        <v>Iceland(0.925)</v>
      </c>
      <c r="O38" s="2" t="str">
        <f t="shared" si="6"/>
        <v>Canada(0.606)</v>
      </c>
      <c r="P38" s="2" t="str">
        <f t="shared" si="7"/>
        <v>Lebanon(0.894)</v>
      </c>
      <c r="Q38" s="2" t="str">
        <f t="shared" si="8"/>
        <v>Honduras(0.784)</v>
      </c>
      <c r="R38" s="2" t="str">
        <f t="shared" si="9"/>
        <v>Benin(0.434)</v>
      </c>
    </row>
    <row r="39" spans="1:18" x14ac:dyDescent="0.35">
      <c r="A39" s="4" t="s">
        <v>1173</v>
      </c>
      <c r="B39" s="4" t="s">
        <v>37</v>
      </c>
      <c r="C39" s="4" t="s">
        <v>177</v>
      </c>
      <c r="D39" s="4" t="s">
        <v>322</v>
      </c>
      <c r="E39" s="4" t="s">
        <v>462</v>
      </c>
      <c r="F39" s="4" t="s">
        <v>605</v>
      </c>
      <c r="G39" s="2" t="s">
        <v>748</v>
      </c>
      <c r="H39" s="4" t="s">
        <v>887</v>
      </c>
      <c r="I39" s="4" t="s">
        <v>1030</v>
      </c>
      <c r="J39" s="2" t="str">
        <f t="shared" si="1"/>
        <v>New Zealand(7.029)</v>
      </c>
      <c r="K39" s="2" t="str">
        <f t="shared" si="2"/>
        <v>Austria( 55,409)</v>
      </c>
      <c r="L39" s="2" t="str">
        <f t="shared" si="3"/>
        <v>Mongolia(0.940)</v>
      </c>
      <c r="M39" s="2" t="str">
        <f t="shared" si="4"/>
        <v>Italy(71.900)</v>
      </c>
      <c r="N39" s="2" t="str">
        <f t="shared" si="5"/>
        <v>Denmark(0.928)</v>
      </c>
      <c r="O39" s="2" t="str">
        <f t="shared" si="6"/>
        <v>United States(0.613)</v>
      </c>
      <c r="P39" s="2" t="str">
        <f t="shared" si="7"/>
        <v>Peru(0.895)</v>
      </c>
      <c r="Q39" s="2" t="str">
        <f t="shared" si="8"/>
        <v>Nicaragua(0.788)</v>
      </c>
      <c r="R39" s="2" t="str">
        <f t="shared" si="9"/>
        <v>Jordan(0.435)</v>
      </c>
    </row>
    <row r="40" spans="1:18" x14ac:dyDescent="0.35">
      <c r="A40" s="4" t="s">
        <v>1174</v>
      </c>
      <c r="B40" s="4" t="s">
        <v>38</v>
      </c>
      <c r="C40" s="4" t="s">
        <v>178</v>
      </c>
      <c r="D40" s="4" t="s">
        <v>323</v>
      </c>
      <c r="E40" s="4" t="s">
        <v>463</v>
      </c>
      <c r="F40" s="4" t="s">
        <v>606</v>
      </c>
      <c r="G40" s="2" t="s">
        <v>749</v>
      </c>
      <c r="H40" s="4" t="s">
        <v>888</v>
      </c>
      <c r="I40" s="4" t="s">
        <v>1031</v>
      </c>
      <c r="J40" s="2" t="str">
        <f t="shared" si="1"/>
        <v>Australia(7.057)</v>
      </c>
      <c r="K40" s="2" t="str">
        <f t="shared" si="2"/>
        <v>Netherlands( 57,904)</v>
      </c>
      <c r="L40" s="2" t="str">
        <f t="shared" si="3"/>
        <v>Czechia(0.940)</v>
      </c>
      <c r="M40" s="2" t="str">
        <f t="shared" si="4"/>
        <v>Sweden(71.900)</v>
      </c>
      <c r="N40" s="2" t="str">
        <f t="shared" si="5"/>
        <v>Philippines(0.931)</v>
      </c>
      <c r="O40" s="2" t="str">
        <f t="shared" si="6"/>
        <v>Ireland(0.614)</v>
      </c>
      <c r="P40" s="2" t="str">
        <f t="shared" si="7"/>
        <v>Jamaica(0.895)</v>
      </c>
      <c r="Q40" s="2" t="str">
        <f t="shared" si="8"/>
        <v>Iceland(0.790)</v>
      </c>
      <c r="R40" s="2" t="str">
        <f t="shared" si="9"/>
        <v>Iran(0.439)</v>
      </c>
    </row>
    <row r="41" spans="1:18" x14ac:dyDescent="0.35">
      <c r="A41" s="4" t="s">
        <v>1175</v>
      </c>
      <c r="B41" s="4" t="s">
        <v>39</v>
      </c>
      <c r="C41" s="4" t="s">
        <v>179</v>
      </c>
      <c r="D41" s="4" t="s">
        <v>324</v>
      </c>
      <c r="E41" s="4" t="s">
        <v>464</v>
      </c>
      <c r="F41" s="4" t="s">
        <v>607</v>
      </c>
      <c r="G41" s="2" t="s">
        <v>750</v>
      </c>
      <c r="H41" s="4" t="s">
        <v>889</v>
      </c>
      <c r="I41" s="4" t="s">
        <v>1032</v>
      </c>
      <c r="J41" s="2" t="str">
        <f t="shared" si="1"/>
        <v>Switzerland(7.060)</v>
      </c>
      <c r="K41" s="2" t="str">
        <f t="shared" si="2"/>
        <v>Denmark( 59,100)</v>
      </c>
      <c r="L41" s="2" t="str">
        <f t="shared" si="3"/>
        <v>Israel(0.941)</v>
      </c>
      <c r="M41" s="2" t="str">
        <f t="shared" si="4"/>
        <v>Iceland(72.000)</v>
      </c>
      <c r="N41" s="2" t="str">
        <f t="shared" si="5"/>
        <v>Kuwait(0.931)</v>
      </c>
      <c r="O41" s="2" t="str">
        <f t="shared" si="6"/>
        <v>Norway(0.617)</v>
      </c>
      <c r="P41" s="2" t="str">
        <f t="shared" si="7"/>
        <v>Ghana(0.896)</v>
      </c>
      <c r="Q41" s="2" t="str">
        <f t="shared" si="8"/>
        <v>Costa Rica(0.792)</v>
      </c>
      <c r="R41" s="2" t="str">
        <f t="shared" si="9"/>
        <v>Bangladesh(0.443)</v>
      </c>
    </row>
    <row r="42" spans="1:18" x14ac:dyDescent="0.35">
      <c r="A42" s="4" t="s">
        <v>1176</v>
      </c>
      <c r="B42" s="4" t="s">
        <v>40</v>
      </c>
      <c r="C42" s="4" t="s">
        <v>180</v>
      </c>
      <c r="D42" s="4" t="s">
        <v>325</v>
      </c>
      <c r="E42" s="4" t="s">
        <v>465</v>
      </c>
      <c r="F42" s="4" t="s">
        <v>608</v>
      </c>
      <c r="G42" s="2" t="s">
        <v>751</v>
      </c>
      <c r="H42" s="4" t="s">
        <v>890</v>
      </c>
      <c r="I42" s="4" t="s">
        <v>1033</v>
      </c>
      <c r="J42" s="2" t="str">
        <f t="shared" si="1"/>
        <v>Luxembourg(7.122)</v>
      </c>
      <c r="K42" s="2" t="str">
        <f t="shared" si="2"/>
        <v>Hong Kong S.A.R. of China( 59,254)</v>
      </c>
      <c r="L42" s="2" t="str">
        <f t="shared" si="3"/>
        <v>Norway(0.942)</v>
      </c>
      <c r="M42" s="2" t="str">
        <f t="shared" si="4"/>
        <v>Spain(72.100)</v>
      </c>
      <c r="N42" s="2" t="str">
        <f t="shared" si="5"/>
        <v>Malaysia(0.933)</v>
      </c>
      <c r="O42" s="2" t="str">
        <f t="shared" si="6"/>
        <v>Ukraine(0.620)</v>
      </c>
      <c r="P42" s="2" t="str">
        <f t="shared" si="7"/>
        <v>Ukraine(0.899)</v>
      </c>
      <c r="Q42" s="2" t="str">
        <f t="shared" si="8"/>
        <v>Mexico(0.793)</v>
      </c>
      <c r="R42" s="2" t="str">
        <f t="shared" si="9"/>
        <v>Lebanon(0.461)</v>
      </c>
    </row>
    <row r="43" spans="1:18" x14ac:dyDescent="0.35">
      <c r="A43" s="4" t="s">
        <v>1177</v>
      </c>
      <c r="B43" s="4" t="s">
        <v>41</v>
      </c>
      <c r="C43" s="4" t="s">
        <v>181</v>
      </c>
      <c r="D43" s="4" t="s">
        <v>326</v>
      </c>
      <c r="E43" s="4" t="s">
        <v>466</v>
      </c>
      <c r="F43" s="4" t="s">
        <v>609</v>
      </c>
      <c r="G43" s="2" t="s">
        <v>752</v>
      </c>
      <c r="H43" s="4" t="s">
        <v>891</v>
      </c>
      <c r="I43" s="4" t="s">
        <v>1034</v>
      </c>
      <c r="J43" s="2" t="str">
        <f t="shared" si="1"/>
        <v>Norway(7.302)</v>
      </c>
      <c r="K43" s="2" t="str">
        <f t="shared" si="2"/>
        <v>United States( 64,595)</v>
      </c>
      <c r="L43" s="2" t="str">
        <f t="shared" si="3"/>
        <v>Denmark(0.944)</v>
      </c>
      <c r="M43" s="2" t="str">
        <f t="shared" si="4"/>
        <v>France(72.100)</v>
      </c>
      <c r="N43" s="2" t="str">
        <f t="shared" si="5"/>
        <v>Kyrgyzstan(0.937)</v>
      </c>
      <c r="O43" s="2" t="str">
        <f t="shared" si="6"/>
        <v>Thailand(0.644)</v>
      </c>
      <c r="P43" s="2" t="str">
        <f t="shared" si="7"/>
        <v>Thailand(0.901)</v>
      </c>
      <c r="Q43" s="2" t="str">
        <f t="shared" si="8"/>
        <v>Philippines(0.808)</v>
      </c>
      <c r="R43" s="2" t="str">
        <f t="shared" si="9"/>
        <v>Sierra Leone(0.461)</v>
      </c>
    </row>
    <row r="44" spans="1:18" x14ac:dyDescent="0.35">
      <c r="A44" s="4" t="s">
        <v>1178</v>
      </c>
      <c r="B44" s="4" t="s">
        <v>42</v>
      </c>
      <c r="C44" s="4" t="s">
        <v>182</v>
      </c>
      <c r="D44" s="4" t="s">
        <v>327</v>
      </c>
      <c r="E44" s="4" t="s">
        <v>467</v>
      </c>
      <c r="F44" s="4" t="s">
        <v>610</v>
      </c>
      <c r="G44" s="2" t="s">
        <v>753</v>
      </c>
      <c r="H44" s="4" t="s">
        <v>892</v>
      </c>
      <c r="I44" s="4" t="s">
        <v>1035</v>
      </c>
      <c r="J44" s="2" t="str">
        <f t="shared" si="1"/>
        <v>Netherlands(7.319)</v>
      </c>
      <c r="K44" s="2" t="str">
        <f t="shared" si="2"/>
        <v>Norway( 67,061)</v>
      </c>
      <c r="L44" s="2" t="str">
        <f t="shared" si="3"/>
        <v>New Zealand(0.946)</v>
      </c>
      <c r="M44" s="2" t="str">
        <f t="shared" si="4"/>
        <v>Cyprus(72.400)</v>
      </c>
      <c r="N44" s="2" t="str">
        <f t="shared" si="5"/>
        <v>Uzbekistan(0.937)</v>
      </c>
      <c r="O44" s="2" t="str">
        <f t="shared" si="6"/>
        <v>Netherlands(0.654)</v>
      </c>
      <c r="P44" s="2" t="str">
        <f t="shared" si="7"/>
        <v>Nigeria(0.908)</v>
      </c>
      <c r="Q44" s="2" t="str">
        <f t="shared" si="8"/>
        <v>Indonesia(0.812)</v>
      </c>
      <c r="R44" s="2" t="str">
        <f t="shared" si="9"/>
        <v>Congo (Kinshasa)(0.477)</v>
      </c>
    </row>
    <row r="45" spans="1:18" x14ac:dyDescent="0.35">
      <c r="A45" s="4" t="s">
        <v>1179</v>
      </c>
      <c r="B45" s="4" t="s">
        <v>43</v>
      </c>
      <c r="C45" s="4" t="s">
        <v>183</v>
      </c>
      <c r="D45" s="4" t="s">
        <v>328</v>
      </c>
      <c r="E45" s="4" t="s">
        <v>468</v>
      </c>
      <c r="F45" s="4" t="s">
        <v>611</v>
      </c>
      <c r="G45" s="2" t="s">
        <v>754</v>
      </c>
      <c r="H45" s="4" t="s">
        <v>893</v>
      </c>
      <c r="I45" s="4" t="s">
        <v>1036</v>
      </c>
      <c r="J45" s="2" t="str">
        <f t="shared" si="1"/>
        <v>Israel(7.341)</v>
      </c>
      <c r="K45" s="2" t="str">
        <f t="shared" si="2"/>
        <v>Switzerland( 70,670)</v>
      </c>
      <c r="L45" s="2" t="str">
        <f t="shared" si="3"/>
        <v>Estonia(0.946)</v>
      </c>
      <c r="M45" s="2" t="str">
        <f t="shared" si="4"/>
        <v>Israel(72.400)</v>
      </c>
      <c r="N45" s="2" t="str">
        <f t="shared" si="5"/>
        <v>Norway(0.938)</v>
      </c>
      <c r="O45" s="2" t="str">
        <f t="shared" si="6"/>
        <v>Iceland(0.675)</v>
      </c>
      <c r="P45" s="2" t="str">
        <f t="shared" si="7"/>
        <v>Tunisia(0.909)</v>
      </c>
      <c r="Q45" s="2" t="str">
        <f t="shared" si="8"/>
        <v>Senegal(0.814)</v>
      </c>
      <c r="R45" s="2" t="str">
        <f t="shared" si="9"/>
        <v>Iraq(0.482)</v>
      </c>
    </row>
    <row r="46" spans="1:18" x14ac:dyDescent="0.35">
      <c r="A46" s="4" t="s">
        <v>1180</v>
      </c>
      <c r="B46" s="4" t="s">
        <v>44</v>
      </c>
      <c r="C46" s="4" t="s">
        <v>184</v>
      </c>
      <c r="D46" s="4" t="s">
        <v>329</v>
      </c>
      <c r="E46" s="4" t="s">
        <v>469</v>
      </c>
      <c r="F46" s="4" t="s">
        <v>612</v>
      </c>
      <c r="G46" s="2" t="s">
        <v>755</v>
      </c>
      <c r="H46" s="4" t="s">
        <v>894</v>
      </c>
      <c r="I46" s="4" t="s">
        <v>1037</v>
      </c>
      <c r="J46" s="2" t="str">
        <f t="shared" si="1"/>
        <v>Sweden(7.344)</v>
      </c>
      <c r="K46" s="2" t="str">
        <f t="shared" si="2"/>
        <v>United Arab Emirates( 73,318)</v>
      </c>
      <c r="L46" s="2" t="str">
        <f t="shared" si="3"/>
        <v>Hungary(0.947)</v>
      </c>
      <c r="M46" s="2" t="str">
        <f t="shared" si="4"/>
        <v>Switzerland(72.500)</v>
      </c>
      <c r="N46" s="2" t="str">
        <f t="shared" si="5"/>
        <v>Sweden(0.940)</v>
      </c>
      <c r="O46" s="2" t="str">
        <f t="shared" si="6"/>
        <v>United Kingdom(0.677)</v>
      </c>
      <c r="P46" s="2" t="str">
        <f t="shared" si="7"/>
        <v>North Macedonia(0.914)</v>
      </c>
      <c r="Q46" s="2" t="str">
        <f t="shared" si="8"/>
        <v>Paraguay(0.820)</v>
      </c>
      <c r="R46" s="2" t="str">
        <f t="shared" si="9"/>
        <v>Armenia(0.483)</v>
      </c>
    </row>
    <row r="47" spans="1:18" x14ac:dyDescent="0.35">
      <c r="A47" s="4" t="s">
        <v>1181</v>
      </c>
      <c r="B47" s="4" t="s">
        <v>45</v>
      </c>
      <c r="C47" s="4" t="s">
        <v>185</v>
      </c>
      <c r="D47" s="4" t="s">
        <v>330</v>
      </c>
      <c r="E47" s="4" t="s">
        <v>470</v>
      </c>
      <c r="F47" s="4" t="s">
        <v>613</v>
      </c>
      <c r="G47" s="2" t="s">
        <v>756</v>
      </c>
      <c r="H47" s="4" t="s">
        <v>895</v>
      </c>
      <c r="I47" s="4" t="s">
        <v>1038</v>
      </c>
      <c r="J47" s="2" t="str">
        <f t="shared" si="1"/>
        <v>Iceland(7.525)</v>
      </c>
      <c r="K47" s="2" t="str">
        <f t="shared" si="2"/>
        <v>Singapore(107,891)</v>
      </c>
      <c r="L47" s="2" t="str">
        <f t="shared" si="3"/>
        <v>Slovakia(0.951)</v>
      </c>
      <c r="M47" s="2" t="str">
        <f t="shared" si="4"/>
        <v>South Korea(73.100)</v>
      </c>
      <c r="N47" s="2" t="str">
        <f t="shared" si="5"/>
        <v>Vietnam(0.943)</v>
      </c>
      <c r="O47" s="2" t="str">
        <f t="shared" si="6"/>
        <v>Malta(0.678)</v>
      </c>
      <c r="P47" s="2" t="str">
        <f t="shared" si="7"/>
        <v>Romania(0.925)</v>
      </c>
      <c r="Q47" s="2" t="str">
        <f t="shared" si="8"/>
        <v>El Salvador(0.824)</v>
      </c>
      <c r="R47" s="2" t="str">
        <f t="shared" si="9"/>
        <v>Chad(0.484)</v>
      </c>
    </row>
    <row r="48" spans="1:18" x14ac:dyDescent="0.35">
      <c r="A48" s="4" t="s">
        <v>1182</v>
      </c>
      <c r="B48" s="4" t="s">
        <v>46</v>
      </c>
      <c r="C48" s="4" t="s">
        <v>186</v>
      </c>
      <c r="D48" s="4" t="s">
        <v>331</v>
      </c>
      <c r="E48" s="4" t="s">
        <v>471</v>
      </c>
      <c r="F48" s="4" t="s">
        <v>614</v>
      </c>
      <c r="G48" s="2" t="s">
        <v>757</v>
      </c>
      <c r="H48" s="4" t="s">
        <v>896</v>
      </c>
      <c r="I48" s="4" t="s">
        <v>1039</v>
      </c>
      <c r="J48" s="2" t="str">
        <f t="shared" si="1"/>
        <v>Denmark(7.583)</v>
      </c>
      <c r="K48" s="2" t="str">
        <f t="shared" si="2"/>
        <v>Ireland(111,256)</v>
      </c>
      <c r="L48" s="2" t="str">
        <f t="shared" si="3"/>
        <v>Finland(0.964)</v>
      </c>
      <c r="M48" s="2" t="str">
        <f t="shared" si="4"/>
        <v>Singapore(73.600)</v>
      </c>
      <c r="N48" s="2" t="str">
        <f t="shared" si="5"/>
        <v>Finland(0.955)</v>
      </c>
      <c r="O48" s="2" t="str">
        <f t="shared" si="6"/>
        <v>Myanmar(0.779)</v>
      </c>
      <c r="P48" s="2" t="str">
        <f t="shared" si="7"/>
        <v>Bulgaria(0.925)</v>
      </c>
      <c r="Q48" s="2" t="str">
        <f t="shared" si="8"/>
        <v>Panama(0.829)</v>
      </c>
      <c r="R48" s="2" t="str">
        <f t="shared" si="9"/>
        <v>Guinea(0.488)</v>
      </c>
    </row>
    <row r="49" spans="1:18" x14ac:dyDescent="0.35">
      <c r="A49" s="4" t="s">
        <v>1183</v>
      </c>
      <c r="B49" s="4" t="s">
        <v>47</v>
      </c>
      <c r="C49" s="4" t="s">
        <v>187</v>
      </c>
      <c r="D49" s="4" t="s">
        <v>332</v>
      </c>
      <c r="E49" s="4" t="s">
        <v>472</v>
      </c>
      <c r="F49" s="4" t="s">
        <v>615</v>
      </c>
      <c r="G49" s="2" t="s">
        <v>758</v>
      </c>
      <c r="H49" s="4" t="s">
        <v>897</v>
      </c>
      <c r="I49" s="4" t="s">
        <v>1040</v>
      </c>
      <c r="J49" s="2" t="str">
        <f t="shared" si="1"/>
        <v>Finland(7.741)</v>
      </c>
      <c r="K49" s="2" t="str">
        <f t="shared" si="2"/>
        <v>Luxembourg(115,041)</v>
      </c>
      <c r="L49" s="2" t="str">
        <f t="shared" si="3"/>
        <v>Iceland(0.981)</v>
      </c>
      <c r="M49" s="2" t="str">
        <f t="shared" si="4"/>
        <v>Japan(74.100)</v>
      </c>
      <c r="N49" s="2" t="str">
        <f t="shared" si="5"/>
        <v>Cambodia(0.958)</v>
      </c>
      <c r="O49" s="2" t="str">
        <f t="shared" si="6"/>
        <v>Indonesia(0.857)</v>
      </c>
      <c r="P49" s="2" t="str">
        <f t="shared" si="7"/>
        <v>Bosnia and Herzegovina(0.934)</v>
      </c>
      <c r="Q49" s="2" t="str">
        <f t="shared" si="8"/>
        <v>Guatemala(0.843)</v>
      </c>
      <c r="R49" s="2" t="str">
        <f t="shared" si="9"/>
        <v>Afghanistan(0.548)</v>
      </c>
    </row>
    <row r="50" spans="1:18" x14ac:dyDescent="0.35">
      <c r="A50" s="4" t="s">
        <v>1184</v>
      </c>
      <c r="B50" s="4" t="s">
        <v>48</v>
      </c>
      <c r="C50" s="4" t="s">
        <v>188</v>
      </c>
      <c r="D50" s="4" t="s">
        <v>333</v>
      </c>
      <c r="E50" s="4" t="s">
        <v>473</v>
      </c>
      <c r="F50" s="4" t="s">
        <v>616</v>
      </c>
      <c r="G50" s="2" t="s">
        <v>759</v>
      </c>
      <c r="H50" s="4" t="s">
        <v>898</v>
      </c>
      <c r="I50" s="4" t="s">
        <v>1041</v>
      </c>
      <c r="J50" s="2" t="str">
        <f t="shared" si="1"/>
        <v>Ivory Coast(5.080)</v>
      </c>
      <c r="K50" s="2" t="str">
        <f t="shared" si="2"/>
        <v>Bolivia( 8,185)</v>
      </c>
      <c r="L50" s="2" t="str">
        <f t="shared" si="3"/>
        <v>Gabon(0.755)</v>
      </c>
      <c r="M50" s="2" t="str">
        <f t="shared" si="4"/>
        <v>Philippines(62.000)</v>
      </c>
      <c r="N50" s="2" t="str">
        <f t="shared" si="5"/>
        <v>Botswana(0.743)</v>
      </c>
      <c r="O50" s="2" t="str">
        <f t="shared" si="6"/>
        <v>Croatia(0.240)</v>
      </c>
      <c r="P50" s="2" t="str">
        <f t="shared" si="7"/>
        <v>Myanmar(0.696)</v>
      </c>
      <c r="Q50" s="2" t="str">
        <f t="shared" si="8"/>
        <v>Ghana(0.616)</v>
      </c>
      <c r="R50" s="2" t="str">
        <f t="shared" si="9"/>
        <v>Czechia(0.246)</v>
      </c>
    </row>
    <row r="51" spans="1:18" x14ac:dyDescent="0.35">
      <c r="A51" s="4" t="s">
        <v>1185</v>
      </c>
      <c r="B51" s="4" t="s">
        <v>49</v>
      </c>
      <c r="C51" s="4" t="s">
        <v>189</v>
      </c>
      <c r="D51" s="4" t="s">
        <v>334</v>
      </c>
      <c r="E51" s="4" t="s">
        <v>474</v>
      </c>
      <c r="F51" s="4" t="s">
        <v>617</v>
      </c>
      <c r="G51" s="2" t="s">
        <v>760</v>
      </c>
      <c r="H51" s="4" t="s">
        <v>899</v>
      </c>
      <c r="I51" s="4" t="s">
        <v>1042</v>
      </c>
      <c r="J51" s="2" t="str">
        <f t="shared" si="1"/>
        <v>Gabon(5.106)</v>
      </c>
      <c r="K51" s="2" t="str">
        <f t="shared" si="2"/>
        <v>Philippines( 8,541)</v>
      </c>
      <c r="L51" s="2" t="str">
        <f t="shared" si="3"/>
        <v>Nigeria(0.770)</v>
      </c>
      <c r="M51" s="2" t="str">
        <f t="shared" si="4"/>
        <v>Tajikistan(62.000)</v>
      </c>
      <c r="N51" s="2" t="str">
        <f t="shared" si="5"/>
        <v>Benin(0.743)</v>
      </c>
      <c r="O51" s="2" t="str">
        <f t="shared" si="6"/>
        <v>Mexico(0.245)</v>
      </c>
      <c r="P51" s="2" t="str">
        <f t="shared" si="7"/>
        <v>Armenia(0.698)</v>
      </c>
      <c r="Q51" s="2" t="str">
        <f t="shared" si="8"/>
        <v>India(0.617)</v>
      </c>
      <c r="R51" s="2" t="str">
        <f t="shared" si="9"/>
        <v>Slovakia(0.246)</v>
      </c>
    </row>
    <row r="52" spans="1:18" x14ac:dyDescent="0.35">
      <c r="A52" s="4" t="s">
        <v>1186</v>
      </c>
      <c r="B52" s="4" t="s">
        <v>50</v>
      </c>
      <c r="C52" s="4" t="s">
        <v>190</v>
      </c>
      <c r="D52" s="4" t="s">
        <v>335</v>
      </c>
      <c r="E52" s="4" t="s">
        <v>475</v>
      </c>
      <c r="F52" s="4" t="s">
        <v>618</v>
      </c>
      <c r="G52" s="2" t="s">
        <v>761</v>
      </c>
      <c r="H52" s="4" t="s">
        <v>900</v>
      </c>
      <c r="I52" s="4" t="s">
        <v>1043</v>
      </c>
      <c r="J52" s="2" t="str">
        <f t="shared" si="1"/>
        <v>Laos(5.139)</v>
      </c>
      <c r="K52" s="2" t="str">
        <f t="shared" si="2"/>
        <v>Iraq( 8,961)</v>
      </c>
      <c r="L52" s="2" t="str">
        <f t="shared" si="3"/>
        <v>El Salvador(0.772)</v>
      </c>
      <c r="M52" s="2" t="str">
        <f t="shared" si="4"/>
        <v>Guatemala(62.300)</v>
      </c>
      <c r="N52" s="2" t="str">
        <f t="shared" si="5"/>
        <v>Malawi(0.746)</v>
      </c>
      <c r="O52" s="2" t="str">
        <f t="shared" si="6"/>
        <v>Dominican Republic(0.245)</v>
      </c>
      <c r="P52" s="2" t="str">
        <f t="shared" si="7"/>
        <v>United States(0.703)</v>
      </c>
      <c r="Q52" s="2" t="str">
        <f t="shared" si="8"/>
        <v>Poland(0.619)</v>
      </c>
      <c r="R52" s="2" t="str">
        <f t="shared" si="9"/>
        <v>Belgium(0.247)</v>
      </c>
    </row>
    <row r="53" spans="1:18" x14ac:dyDescent="0.35">
      <c r="A53" s="4" t="s">
        <v>1187</v>
      </c>
      <c r="B53" s="4" t="s">
        <v>51</v>
      </c>
      <c r="C53" s="4" t="s">
        <v>191</v>
      </c>
      <c r="D53" s="4" t="s">
        <v>336</v>
      </c>
      <c r="E53" s="4" t="s">
        <v>476</v>
      </c>
      <c r="F53" s="4" t="s">
        <v>619</v>
      </c>
      <c r="G53" s="2" t="s">
        <v>762</v>
      </c>
      <c r="H53" s="4" t="s">
        <v>901</v>
      </c>
      <c r="I53" s="4" t="s">
        <v>1044</v>
      </c>
      <c r="J53" s="2" t="str">
        <f t="shared" si="1"/>
        <v>Nepal(5.158)</v>
      </c>
      <c r="K53" s="2" t="str">
        <f t="shared" si="2"/>
        <v>Eswatini( 9,132)</v>
      </c>
      <c r="L53" s="2" t="str">
        <f t="shared" si="3"/>
        <v>Libya(0.779)</v>
      </c>
      <c r="M53" s="2" t="str">
        <f t="shared" si="4"/>
        <v>Iraq(62.700)</v>
      </c>
      <c r="N53" s="2" t="str">
        <f t="shared" si="5"/>
        <v>North Macedonia(0.752)</v>
      </c>
      <c r="O53" s="2" t="str">
        <f t="shared" si="6"/>
        <v>Turkiye(0.245)</v>
      </c>
      <c r="P53" s="2" t="str">
        <f t="shared" si="7"/>
        <v>Bangladesh(0.705)</v>
      </c>
      <c r="Q53" s="2" t="str">
        <f t="shared" si="8"/>
        <v>Zimbabwe(0.620)</v>
      </c>
      <c r="R53" s="2" t="str">
        <f t="shared" si="9"/>
        <v>Mexico(0.248)</v>
      </c>
    </row>
    <row r="54" spans="1:18" x14ac:dyDescent="0.35">
      <c r="A54" s="4" t="s">
        <v>1188</v>
      </c>
      <c r="B54" s="4" t="s">
        <v>52</v>
      </c>
      <c r="C54" s="4" t="s">
        <v>192</v>
      </c>
      <c r="D54" s="4" t="s">
        <v>337</v>
      </c>
      <c r="E54" s="4" t="s">
        <v>477</v>
      </c>
      <c r="F54" s="4" t="s">
        <v>620</v>
      </c>
      <c r="G54" s="2" t="s">
        <v>763</v>
      </c>
      <c r="H54" s="4" t="s">
        <v>902</v>
      </c>
      <c r="I54" s="4" t="s">
        <v>1045</v>
      </c>
      <c r="J54" s="2" t="str">
        <f t="shared" si="1"/>
        <v>Iraq(5.166)</v>
      </c>
      <c r="K54" s="2" t="str">
        <f t="shared" si="2"/>
        <v>Guatemala( 9,243)</v>
      </c>
      <c r="L54" s="2" t="str">
        <f t="shared" si="3"/>
        <v>Iran(0.794)</v>
      </c>
      <c r="M54" s="2" t="str">
        <f t="shared" si="4"/>
        <v>Indonesia(62.800)</v>
      </c>
      <c r="N54" s="2" t="str">
        <f t="shared" si="5"/>
        <v>Hungary(0.753)</v>
      </c>
      <c r="O54" s="2" t="str">
        <f t="shared" si="6"/>
        <v>Liberia(0.248)</v>
      </c>
      <c r="P54" s="2" t="str">
        <f t="shared" si="7"/>
        <v>Laos(0.707)</v>
      </c>
      <c r="Q54" s="2" t="str">
        <f t="shared" si="8"/>
        <v>Liberia(0.623)</v>
      </c>
      <c r="R54" s="2" t="str">
        <f t="shared" si="9"/>
        <v>France(0.249)</v>
      </c>
    </row>
    <row r="55" spans="1:18" x14ac:dyDescent="0.35">
      <c r="A55" s="4" t="s">
        <v>1189</v>
      </c>
      <c r="B55" s="4" t="s">
        <v>53</v>
      </c>
      <c r="C55" s="4" t="s">
        <v>193</v>
      </c>
      <c r="D55" s="4" t="s">
        <v>338</v>
      </c>
      <c r="E55" s="4" t="s">
        <v>478</v>
      </c>
      <c r="F55" s="4" t="s">
        <v>621</v>
      </c>
      <c r="G55" s="2" t="s">
        <v>764</v>
      </c>
      <c r="H55" s="4" t="s">
        <v>903</v>
      </c>
      <c r="I55" s="4" t="s">
        <v>1046</v>
      </c>
      <c r="J55" s="2" t="str">
        <f t="shared" si="1"/>
        <v>Georgia(5.185)</v>
      </c>
      <c r="K55" s="2" t="str">
        <f t="shared" si="2"/>
        <v>Jordan( 9,316)</v>
      </c>
      <c r="L55" s="2" t="str">
        <f t="shared" si="3"/>
        <v>Malaysia(0.796)</v>
      </c>
      <c r="M55" s="2" t="str">
        <f t="shared" si="4"/>
        <v>Honduras(63.000)</v>
      </c>
      <c r="N55" s="2" t="str">
        <f t="shared" si="5"/>
        <v>Sri Lanka(0.755)</v>
      </c>
      <c r="O55" s="2" t="str">
        <f t="shared" si="6"/>
        <v>Mauritania(0.249)</v>
      </c>
      <c r="P55" s="2" t="str">
        <f t="shared" si="7"/>
        <v>Ivory Coast(0.710)</v>
      </c>
      <c r="Q55" s="2" t="str">
        <f t="shared" si="8"/>
        <v>Slovenia(0.627)</v>
      </c>
      <c r="R55" s="2" t="str">
        <f t="shared" si="9"/>
        <v>Slovenia(0.253)</v>
      </c>
    </row>
    <row r="56" spans="1:18" x14ac:dyDescent="0.35">
      <c r="A56" s="4" t="s">
        <v>1190</v>
      </c>
      <c r="B56" s="4" t="s">
        <v>54</v>
      </c>
      <c r="C56" s="4" t="s">
        <v>194</v>
      </c>
      <c r="D56" s="4" t="s">
        <v>339</v>
      </c>
      <c r="E56" s="4" t="s">
        <v>479</v>
      </c>
      <c r="F56" s="4" t="s">
        <v>622</v>
      </c>
      <c r="G56" s="2" t="s">
        <v>765</v>
      </c>
      <c r="H56" s="4" t="s">
        <v>904</v>
      </c>
      <c r="I56" s="4" t="s">
        <v>1047</v>
      </c>
      <c r="J56" s="2" t="str">
        <f t="shared" si="1"/>
        <v>Mozambique(5.216)</v>
      </c>
      <c r="K56" s="2" t="str">
        <f t="shared" si="2"/>
        <v>El Salvador( 9,391)</v>
      </c>
      <c r="L56" s="2" t="str">
        <f t="shared" si="3"/>
        <v>Philippines(0.797)</v>
      </c>
      <c r="M56" s="2" t="str">
        <f t="shared" si="4"/>
        <v>Egypt(63.000)</v>
      </c>
      <c r="N56" s="2" t="str">
        <f t="shared" si="5"/>
        <v>Mali(0.756)</v>
      </c>
      <c r="O56" s="2" t="str">
        <f t="shared" si="6"/>
        <v>Congo (Kinshasa)(0.252)</v>
      </c>
      <c r="P56" s="2" t="str">
        <f t="shared" si="7"/>
        <v>Vietnam(0.716)</v>
      </c>
      <c r="Q56" s="2" t="str">
        <f t="shared" si="8"/>
        <v>Burkina Faso(0.632)</v>
      </c>
      <c r="R56" s="2" t="str">
        <f t="shared" si="9"/>
        <v>Croatia(0.255)</v>
      </c>
    </row>
    <row r="57" spans="1:18" x14ac:dyDescent="0.35">
      <c r="A57" s="4" t="s">
        <v>1191</v>
      </c>
      <c r="B57" s="4" t="s">
        <v>55</v>
      </c>
      <c r="C57" s="4" t="s">
        <v>195</v>
      </c>
      <c r="D57" s="4" t="s">
        <v>340</v>
      </c>
      <c r="E57" s="4" t="s">
        <v>480</v>
      </c>
      <c r="F57" s="4" t="s">
        <v>623</v>
      </c>
      <c r="G57" s="2" t="s">
        <v>766</v>
      </c>
      <c r="H57" s="4" t="s">
        <v>905</v>
      </c>
      <c r="I57" s="4" t="s">
        <v>1048</v>
      </c>
      <c r="J57" s="2" t="str">
        <f t="shared" si="1"/>
        <v>Congo (Brazzaville)(5.221)</v>
      </c>
      <c r="K57" s="2" t="str">
        <f t="shared" si="2"/>
        <v>Namibia( 9,425)</v>
      </c>
      <c r="L57" s="2" t="str">
        <f t="shared" si="3"/>
        <v>Ecuador(0.799)</v>
      </c>
      <c r="M57" s="2" t="str">
        <f t="shared" si="4"/>
        <v>Bolivia(63.300)</v>
      </c>
      <c r="N57" s="2" t="str">
        <f t="shared" si="5"/>
        <v>United States(0.757)</v>
      </c>
      <c r="O57" s="2" t="str">
        <f t="shared" si="6"/>
        <v>Nicaragua(0.254)</v>
      </c>
      <c r="P57" s="2" t="str">
        <f t="shared" si="7"/>
        <v>Comoros(0.716)</v>
      </c>
      <c r="Q57" s="2" t="str">
        <f t="shared" si="8"/>
        <v>Italy(0.632)</v>
      </c>
      <c r="R57" s="2" t="str">
        <f t="shared" si="9"/>
        <v>United Arab Emirates(0.256)</v>
      </c>
    </row>
    <row r="58" spans="1:18" x14ac:dyDescent="0.35">
      <c r="A58" s="4" t="s">
        <v>1192</v>
      </c>
      <c r="B58" s="4" t="s">
        <v>56</v>
      </c>
      <c r="C58" s="4" t="s">
        <v>196</v>
      </c>
      <c r="D58" s="4" t="s">
        <v>341</v>
      </c>
      <c r="E58" s="4" t="s">
        <v>481</v>
      </c>
      <c r="F58" s="4" t="s">
        <v>624</v>
      </c>
      <c r="G58" s="2" t="s">
        <v>767</v>
      </c>
      <c r="H58" s="4" t="s">
        <v>906</v>
      </c>
      <c r="I58" s="4" t="s">
        <v>1049</v>
      </c>
      <c r="J58" s="2" t="str">
        <f t="shared" si="1"/>
        <v>Tajikistan(5.281)</v>
      </c>
      <c r="K58" s="2" t="str">
        <f t="shared" si="2"/>
        <v>Jamaica( 9,806)</v>
      </c>
      <c r="L58" s="2" t="str">
        <f t="shared" si="3"/>
        <v>Uganda(0.799)</v>
      </c>
      <c r="M58" s="2" t="str">
        <f t="shared" si="4"/>
        <v>Azerbaijan(63.600)</v>
      </c>
      <c r="N58" s="2" t="str">
        <f t="shared" si="5"/>
        <v>Uganda(0.758)</v>
      </c>
      <c r="O58" s="2" t="str">
        <f t="shared" si="6"/>
        <v>Argentina(0.256)</v>
      </c>
      <c r="P58" s="2" t="str">
        <f t="shared" si="7"/>
        <v>South Korea(0.718)</v>
      </c>
      <c r="Q58" s="2" t="str">
        <f t="shared" si="8"/>
        <v>Gabon(0.634)</v>
      </c>
      <c r="R58" s="2" t="str">
        <f t="shared" si="9"/>
        <v>Kenya(0.259)</v>
      </c>
    </row>
    <row r="59" spans="1:18" x14ac:dyDescent="0.35">
      <c r="A59" s="4" t="s">
        <v>1193</v>
      </c>
      <c r="B59" s="4" t="s">
        <v>57</v>
      </c>
      <c r="C59" s="4" t="s">
        <v>197</v>
      </c>
      <c r="D59" s="4" t="s">
        <v>342</v>
      </c>
      <c r="E59" s="4" t="s">
        <v>482</v>
      </c>
      <c r="F59" s="4" t="s">
        <v>625</v>
      </c>
      <c r="G59" s="2" t="s">
        <v>768</v>
      </c>
      <c r="H59" s="4" t="s">
        <v>907</v>
      </c>
      <c r="I59" s="4" t="s">
        <v>1050</v>
      </c>
      <c r="J59" s="2" t="str">
        <f t="shared" si="1"/>
        <v>Albania(5.304)</v>
      </c>
      <c r="K59" s="2" t="str">
        <f t="shared" si="2"/>
        <v>Tunisia( 10,571)</v>
      </c>
      <c r="L59" s="2" t="str">
        <f t="shared" si="3"/>
        <v>Armenia(0.801)</v>
      </c>
      <c r="M59" s="2" t="str">
        <f t="shared" si="4"/>
        <v>Morocco(63.700)</v>
      </c>
      <c r="N59" s="2" t="str">
        <f t="shared" si="5"/>
        <v>Libya(0.761)</v>
      </c>
      <c r="O59" s="2" t="str">
        <f t="shared" si="6"/>
        <v>Senegal(0.258)</v>
      </c>
      <c r="P59" s="2" t="str">
        <f t="shared" si="7"/>
        <v>Togo(0.721)</v>
      </c>
      <c r="Q59" s="2" t="str">
        <f t="shared" si="8"/>
        <v>Botswana(0.641)</v>
      </c>
      <c r="R59" s="2" t="str">
        <f t="shared" si="9"/>
        <v>Algeria(0.260)</v>
      </c>
    </row>
    <row r="60" spans="1:18" x14ac:dyDescent="0.35">
      <c r="A60" s="4" t="s">
        <v>1194</v>
      </c>
      <c r="B60" s="4" t="s">
        <v>58</v>
      </c>
      <c r="C60" s="4" t="s">
        <v>198</v>
      </c>
      <c r="D60" s="4" t="s">
        <v>343</v>
      </c>
      <c r="E60" s="4" t="s">
        <v>483</v>
      </c>
      <c r="F60" s="4" t="s">
        <v>626</v>
      </c>
      <c r="G60" s="2" t="s">
        <v>769</v>
      </c>
      <c r="H60" s="4" t="s">
        <v>908</v>
      </c>
      <c r="I60" s="4" t="s">
        <v>1051</v>
      </c>
      <c r="J60" s="2" t="str">
        <f t="shared" si="1"/>
        <v>Hong Kong S.A.R. of China(5.316)</v>
      </c>
      <c r="K60" s="2" t="str">
        <f t="shared" si="2"/>
        <v>Ecuador( 10,847)</v>
      </c>
      <c r="L60" s="2" t="str">
        <f t="shared" si="3"/>
        <v>United Arab Emirates(0.804)</v>
      </c>
      <c r="M60" s="2" t="str">
        <f t="shared" si="4"/>
        <v>Mauritius(63.900)</v>
      </c>
      <c r="N60" s="2" t="str">
        <f t="shared" si="5"/>
        <v>Jordan(0.762)</v>
      </c>
      <c r="O60" s="2" t="str">
        <f t="shared" si="6"/>
        <v>Sierra Leone(0.261)</v>
      </c>
      <c r="P60" s="2" t="str">
        <f t="shared" si="7"/>
        <v>Niger(0.734)</v>
      </c>
      <c r="Q60" s="2" t="str">
        <f t="shared" si="8"/>
        <v>Romania(0.642)</v>
      </c>
      <c r="R60" s="2" t="str">
        <f t="shared" si="9"/>
        <v>Romania(0.261)</v>
      </c>
    </row>
    <row r="61" spans="1:18" x14ac:dyDescent="0.35">
      <c r="A61" s="4" t="s">
        <v>1195</v>
      </c>
      <c r="B61" s="4" t="s">
        <v>59</v>
      </c>
      <c r="C61" s="4" t="s">
        <v>199</v>
      </c>
      <c r="D61" s="4" t="s">
        <v>344</v>
      </c>
      <c r="E61" s="4" t="s">
        <v>484</v>
      </c>
      <c r="F61" s="4" t="s">
        <v>627</v>
      </c>
      <c r="G61" s="2" t="s">
        <v>770</v>
      </c>
      <c r="H61" s="4" t="s">
        <v>909</v>
      </c>
      <c r="I61" s="4" t="s">
        <v>1052</v>
      </c>
      <c r="J61" s="2" t="str">
        <f t="shared" si="1"/>
        <v>Algeria(5.364)</v>
      </c>
      <c r="K61" s="2" t="str">
        <f t="shared" si="2"/>
        <v>Algeria( 11,101)</v>
      </c>
      <c r="L61" s="2" t="str">
        <f t="shared" si="3"/>
        <v>Guatemala(0.806)</v>
      </c>
      <c r="M61" s="2" t="str">
        <f t="shared" si="4"/>
        <v>Dominican Republic(64.000)</v>
      </c>
      <c r="N61" s="2" t="str">
        <f t="shared" si="5"/>
        <v>Poland(0.767)</v>
      </c>
      <c r="O61" s="2" t="str">
        <f t="shared" si="6"/>
        <v>Bulgaria(0.264)</v>
      </c>
      <c r="P61" s="2" t="str">
        <f t="shared" si="7"/>
        <v>Brazil(0.739)</v>
      </c>
      <c r="Q61" s="2" t="str">
        <f t="shared" si="8"/>
        <v>Portugal(0.643)</v>
      </c>
      <c r="R61" s="2" t="str">
        <f t="shared" si="9"/>
        <v>Moldova(0.263)</v>
      </c>
    </row>
    <row r="62" spans="1:18" x14ac:dyDescent="0.35">
      <c r="A62" s="4" t="s">
        <v>1196</v>
      </c>
      <c r="B62" s="4" t="s">
        <v>60</v>
      </c>
      <c r="C62" s="4" t="s">
        <v>200</v>
      </c>
      <c r="D62" s="4" t="s">
        <v>345</v>
      </c>
      <c r="E62" s="4" t="s">
        <v>485</v>
      </c>
      <c r="F62" s="4" t="s">
        <v>628</v>
      </c>
      <c r="G62" s="2" t="s">
        <v>771</v>
      </c>
      <c r="H62" s="4" t="s">
        <v>910</v>
      </c>
      <c r="I62" s="4" t="s">
        <v>1053</v>
      </c>
      <c r="J62" s="2" t="str">
        <f t="shared" si="1"/>
        <v>North Macedonia(5.369)</v>
      </c>
      <c r="K62" s="2" t="str">
        <f t="shared" si="2"/>
        <v>Vietnam( 11,324)</v>
      </c>
      <c r="L62" s="2" t="str">
        <f t="shared" si="3"/>
        <v>Turkiye(0.809)</v>
      </c>
      <c r="M62" s="2" t="str">
        <f t="shared" si="4"/>
        <v>Saudi Arabia(64.000)</v>
      </c>
      <c r="N62" s="2" t="str">
        <f t="shared" si="5"/>
        <v>Ecuador(0.771)</v>
      </c>
      <c r="O62" s="2" t="str">
        <f t="shared" si="6"/>
        <v>Burkina Faso(0.270)</v>
      </c>
      <c r="P62" s="2" t="str">
        <f t="shared" si="7"/>
        <v>Congo (Brazzaville)(0.746)</v>
      </c>
      <c r="Q62" s="2" t="str">
        <f t="shared" si="8"/>
        <v>Spain(0.643)</v>
      </c>
      <c r="R62" s="2" t="str">
        <f t="shared" si="9"/>
        <v>Serbia(0.264)</v>
      </c>
    </row>
    <row r="63" spans="1:18" x14ac:dyDescent="0.35">
      <c r="A63" s="4" t="s">
        <v>1197</v>
      </c>
      <c r="B63" s="4" t="s">
        <v>61</v>
      </c>
      <c r="C63" s="4" t="s">
        <v>201</v>
      </c>
      <c r="D63" s="4" t="s">
        <v>346</v>
      </c>
      <c r="E63" s="4" t="s">
        <v>486</v>
      </c>
      <c r="F63" s="4" t="s">
        <v>629</v>
      </c>
      <c r="G63" s="2" t="s">
        <v>772</v>
      </c>
      <c r="H63" s="4" t="s">
        <v>911</v>
      </c>
      <c r="I63" s="4" t="s">
        <v>1054</v>
      </c>
      <c r="J63" s="2" t="str">
        <f t="shared" si="1"/>
        <v>South Africa(5.422)</v>
      </c>
      <c r="K63" s="2" t="str">
        <f t="shared" si="2"/>
        <v>Ukraine( 11,971)</v>
      </c>
      <c r="L63" s="2" t="str">
        <f t="shared" si="3"/>
        <v>South Korea(0.810)</v>
      </c>
      <c r="M63" s="2" t="str">
        <f t="shared" si="4"/>
        <v>Russia(64.200)</v>
      </c>
      <c r="N63" s="2" t="str">
        <f t="shared" si="5"/>
        <v>Senegal(0.772)</v>
      </c>
      <c r="O63" s="2" t="str">
        <f t="shared" si="6"/>
        <v>Pakistan(0.272)</v>
      </c>
      <c r="P63" s="2" t="str">
        <f t="shared" si="7"/>
        <v>Philippines(0.748)</v>
      </c>
      <c r="Q63" s="2" t="str">
        <f t="shared" si="8"/>
        <v>Ivory Coast(0.643)</v>
      </c>
      <c r="R63" s="2" t="str">
        <f t="shared" si="9"/>
        <v>Uruguay(0.265)</v>
      </c>
    </row>
    <row r="64" spans="1:18" x14ac:dyDescent="0.35">
      <c r="A64" s="4" t="s">
        <v>1198</v>
      </c>
      <c r="B64" s="4" t="s">
        <v>62</v>
      </c>
      <c r="C64" s="4" t="s">
        <v>202</v>
      </c>
      <c r="D64" s="4" t="s">
        <v>347</v>
      </c>
      <c r="E64" s="4" t="s">
        <v>487</v>
      </c>
      <c r="F64" s="4" t="s">
        <v>630</v>
      </c>
      <c r="G64" s="2" t="s">
        <v>773</v>
      </c>
      <c r="H64" s="4" t="s">
        <v>912</v>
      </c>
      <c r="I64" s="4" t="s">
        <v>1055</v>
      </c>
      <c r="J64" s="2" t="str">
        <f t="shared" si="1"/>
        <v>Armenia(5.455)</v>
      </c>
      <c r="K64" s="2" t="str">
        <f t="shared" si="2"/>
        <v>Mongolia( 12,067)</v>
      </c>
      <c r="L64" s="2" t="str">
        <f t="shared" si="3"/>
        <v>Sri Lanka(0.810)</v>
      </c>
      <c r="M64" s="2" t="str">
        <f t="shared" si="4"/>
        <v>Ukraine(64.300)</v>
      </c>
      <c r="N64" s="2" t="str">
        <f t="shared" si="5"/>
        <v>Niger(0.777)</v>
      </c>
      <c r="O64" s="2" t="str">
        <f t="shared" si="6"/>
        <v>Bangladesh(0.276)</v>
      </c>
      <c r="P64" s="2" t="str">
        <f t="shared" si="7"/>
        <v>Malawi(0.749)</v>
      </c>
      <c r="Q64" s="2" t="str">
        <f t="shared" si="8"/>
        <v>Myanmar(0.647)</v>
      </c>
      <c r="R64" s="2" t="str">
        <f t="shared" si="9"/>
        <v>Botswana(0.266)</v>
      </c>
    </row>
    <row r="65" spans="1:18" x14ac:dyDescent="0.35">
      <c r="A65" s="4" t="s">
        <v>1199</v>
      </c>
      <c r="B65" s="4" t="s">
        <v>63</v>
      </c>
      <c r="C65" s="4" t="s">
        <v>203</v>
      </c>
      <c r="D65" s="4" t="s">
        <v>348</v>
      </c>
      <c r="E65" s="4" t="s">
        <v>488</v>
      </c>
      <c r="F65" s="4" t="s">
        <v>631</v>
      </c>
      <c r="G65" s="2" t="s">
        <v>774</v>
      </c>
      <c r="H65" s="4" t="s">
        <v>913</v>
      </c>
      <c r="I65" s="4" t="s">
        <v>1056</v>
      </c>
      <c r="J65" s="2" t="str">
        <f t="shared" si="1"/>
        <v>Bulgaria(5.463)</v>
      </c>
      <c r="K65" s="2" t="str">
        <f t="shared" si="2"/>
        <v>Sri Lanka( 12,356)</v>
      </c>
      <c r="L65" s="2" t="str">
        <f t="shared" si="3"/>
        <v>Bolivia(0.810)</v>
      </c>
      <c r="M65" s="2" t="str">
        <f t="shared" si="4"/>
        <v>Bangladesh(64.300)</v>
      </c>
      <c r="N65" s="2" t="str">
        <f t="shared" si="5"/>
        <v>Peru(0.778)</v>
      </c>
      <c r="O65" s="2" t="str">
        <f t="shared" si="6"/>
        <v>Azerbaijan(0.278)</v>
      </c>
      <c r="P65" s="2" t="str">
        <f t="shared" si="7"/>
        <v>Montenegro(0.754)</v>
      </c>
      <c r="Q65" s="2" t="str">
        <f t="shared" si="8"/>
        <v>Kazakhstan(0.648)</v>
      </c>
      <c r="R65" s="2" t="str">
        <f t="shared" si="9"/>
        <v>Greece(0.269)</v>
      </c>
    </row>
    <row r="66" spans="1:18" x14ac:dyDescent="0.35">
      <c r="A66" s="4" t="s">
        <v>1200</v>
      </c>
      <c r="B66" s="4" t="s">
        <v>64</v>
      </c>
      <c r="C66" s="4" t="s">
        <v>204</v>
      </c>
      <c r="D66" s="4" t="s">
        <v>349</v>
      </c>
      <c r="E66" s="4" t="s">
        <v>489</v>
      </c>
      <c r="F66" s="4" t="s">
        <v>632</v>
      </c>
      <c r="G66" s="2" t="s">
        <v>775</v>
      </c>
      <c r="H66" s="4" t="s">
        <v>914</v>
      </c>
      <c r="I66" s="4" t="s">
        <v>1057</v>
      </c>
      <c r="J66" s="2" t="str">
        <f t="shared" si="1"/>
        <v>Indonesia(5.568)</v>
      </c>
      <c r="K66" s="2" t="str">
        <f t="shared" si="2"/>
        <v>Indonesia( 12,375)</v>
      </c>
      <c r="L66" s="2" t="str">
        <f t="shared" si="3"/>
        <v>Peru(0.811)</v>
      </c>
      <c r="M66" s="2" t="str">
        <f t="shared" si="4"/>
        <v>Venezuela(64.400)</v>
      </c>
      <c r="N66" s="2" t="str">
        <f t="shared" si="5"/>
        <v>Spain(0.781)</v>
      </c>
      <c r="O66" s="2" t="str">
        <f t="shared" si="6"/>
        <v>Poland(0.278)</v>
      </c>
      <c r="P66" s="2" t="str">
        <f t="shared" si="7"/>
        <v>Zimbabwe(0.756)</v>
      </c>
      <c r="Q66" s="2" t="str">
        <f t="shared" si="8"/>
        <v>Malta(0.650)</v>
      </c>
      <c r="R66" s="2" t="str">
        <f t="shared" si="9"/>
        <v>United Kingdom(0.269)</v>
      </c>
    </row>
    <row r="67" spans="1:18" x14ac:dyDescent="0.35">
      <c r="A67" s="4" t="s">
        <v>1201</v>
      </c>
      <c r="B67" s="4" t="s">
        <v>65</v>
      </c>
      <c r="C67" s="4" t="s">
        <v>205</v>
      </c>
      <c r="D67" s="4" t="s">
        <v>350</v>
      </c>
      <c r="E67" s="4" t="s">
        <v>490</v>
      </c>
      <c r="F67" s="4" t="s">
        <v>633</v>
      </c>
      <c r="G67" s="2" t="s">
        <v>776</v>
      </c>
      <c r="H67" s="4" t="s">
        <v>915</v>
      </c>
      <c r="I67" s="4" t="s">
        <v>1058</v>
      </c>
      <c r="J67" s="2" t="str">
        <f t="shared" ref="J67:J130" si="10">MID(A67,FIND(" ",A67)+1,LEN(A67)-FIND(" ",A67))</f>
        <v>Venezuela(5.607)</v>
      </c>
      <c r="K67" s="2" t="str">
        <f t="shared" si="2"/>
        <v>Kosovo( 12,472)</v>
      </c>
      <c r="L67" s="2" t="str">
        <f t="shared" si="3"/>
        <v>Indonesia(0.812)</v>
      </c>
      <c r="M67" s="2" t="str">
        <f t="shared" si="4"/>
        <v>Moldova(64.500)</v>
      </c>
      <c r="N67" s="2" t="str">
        <f t="shared" si="5"/>
        <v>Bulgaria(0.782)</v>
      </c>
      <c r="O67" s="2" t="str">
        <f t="shared" si="6"/>
        <v>Uganda(0.279)</v>
      </c>
      <c r="P67" s="2" t="str">
        <f t="shared" si="7"/>
        <v>Slovenia(0.756)</v>
      </c>
      <c r="Q67" s="2" t="str">
        <f t="shared" si="8"/>
        <v>Namibia(0.651)</v>
      </c>
      <c r="R67" s="2" t="str">
        <f t="shared" si="9"/>
        <v>Senegal(0.270)</v>
      </c>
    </row>
    <row r="68" spans="1:18" x14ac:dyDescent="0.35">
      <c r="A68" s="4" t="s">
        <v>1202</v>
      </c>
      <c r="B68" s="4" t="s">
        <v>66</v>
      </c>
      <c r="C68" s="4" t="s">
        <v>206</v>
      </c>
      <c r="D68" s="4" t="s">
        <v>351</v>
      </c>
      <c r="E68" s="4" t="s">
        <v>491</v>
      </c>
      <c r="F68" s="4" t="s">
        <v>634</v>
      </c>
      <c r="G68" s="2" t="s">
        <v>777</v>
      </c>
      <c r="H68" s="4" t="s">
        <v>916</v>
      </c>
      <c r="I68" s="4" t="s">
        <v>1059</v>
      </c>
      <c r="J68" s="2" t="str">
        <f t="shared" si="10"/>
        <v>Colombia(5.695)</v>
      </c>
      <c r="K68" s="2" t="str">
        <f t="shared" si="2"/>
        <v>Egypt( 12,679)</v>
      </c>
      <c r="L68" s="2" t="str">
        <f t="shared" si="3"/>
        <v>Hong Kong S.A.R. of China(0.812)</v>
      </c>
      <c r="M68" s="2" t="str">
        <f t="shared" si="4"/>
        <v>Uzbekistan(64.700)</v>
      </c>
      <c r="N68" s="2" t="str">
        <f t="shared" si="5"/>
        <v>Bosnia and Herzegovina(0.782)</v>
      </c>
      <c r="O68" s="2" t="str">
        <f t="shared" si="6"/>
        <v>Zambia(0.285)</v>
      </c>
      <c r="P68" s="2" t="str">
        <f t="shared" si="7"/>
        <v>Mexico(0.761)</v>
      </c>
      <c r="Q68" s="2" t="str">
        <f t="shared" si="8"/>
        <v>Mali(0.652)</v>
      </c>
      <c r="R68" s="2" t="str">
        <f t="shared" si="9"/>
        <v>Albania(0.274)</v>
      </c>
    </row>
    <row r="69" spans="1:18" x14ac:dyDescent="0.35">
      <c r="A69" s="4" t="s">
        <v>1203</v>
      </c>
      <c r="B69" s="4" t="s">
        <v>67</v>
      </c>
      <c r="C69" s="4" t="s">
        <v>207</v>
      </c>
      <c r="D69" s="4" t="s">
        <v>352</v>
      </c>
      <c r="E69" s="4" t="s">
        <v>492</v>
      </c>
      <c r="F69" s="4" t="s">
        <v>635</v>
      </c>
      <c r="G69" s="2" t="s">
        <v>778</v>
      </c>
      <c r="H69" s="4" t="s">
        <v>917</v>
      </c>
      <c r="I69" s="4" t="s">
        <v>1060</v>
      </c>
      <c r="J69" s="2" t="str">
        <f t="shared" si="10"/>
        <v>Mongolia(5.696)</v>
      </c>
      <c r="K69" s="2" t="str">
        <f t="shared" si="2"/>
        <v>Peru( 12,702)</v>
      </c>
      <c r="L69" s="2" t="str">
        <f t="shared" si="3"/>
        <v>Algeria(0.815)</v>
      </c>
      <c r="M69" s="2" t="str">
        <f t="shared" si="4"/>
        <v>Georgia(64.700)</v>
      </c>
      <c r="N69" s="2" t="str">
        <f t="shared" si="5"/>
        <v>Ghana(0.784)</v>
      </c>
      <c r="O69" s="2" t="str">
        <f t="shared" si="6"/>
        <v>Costa Rica(0.299)</v>
      </c>
      <c r="P69" s="2" t="str">
        <f t="shared" si="7"/>
        <v>Malta(0.764)</v>
      </c>
      <c r="Q69" s="2" t="str">
        <f t="shared" si="8"/>
        <v>Zambia(0.657)</v>
      </c>
      <c r="R69" s="2" t="str">
        <f t="shared" si="9"/>
        <v>Indonesia(0.276)</v>
      </c>
    </row>
    <row r="70" spans="1:18" x14ac:dyDescent="0.35">
      <c r="A70" s="4" t="s">
        <v>1204</v>
      </c>
      <c r="B70" s="4" t="s">
        <v>68</v>
      </c>
      <c r="C70" s="4" t="s">
        <v>208</v>
      </c>
      <c r="D70" s="4" t="s">
        <v>353</v>
      </c>
      <c r="E70" s="4" t="s">
        <v>493</v>
      </c>
      <c r="F70" s="4" t="s">
        <v>636</v>
      </c>
      <c r="G70" s="2" t="s">
        <v>779</v>
      </c>
      <c r="H70" s="4" t="s">
        <v>918</v>
      </c>
      <c r="I70" s="4" t="s">
        <v>1061</v>
      </c>
      <c r="J70" s="2" t="str">
        <f t="shared" si="10"/>
        <v>Montenegro(5.707)</v>
      </c>
      <c r="K70" s="2" t="str">
        <f t="shared" si="2"/>
        <v>Lebanon( 12,926)</v>
      </c>
      <c r="L70" s="2" t="str">
        <f t="shared" si="3"/>
        <v>Bahrain(0.816)</v>
      </c>
      <c r="M70" s="2" t="str">
        <f t="shared" si="4"/>
        <v>El Salvador(64.900)</v>
      </c>
      <c r="N70" s="2" t="str">
        <f t="shared" si="5"/>
        <v>Ukraine(0.789)</v>
      </c>
      <c r="O70" s="2" t="str">
        <f t="shared" si="6"/>
        <v>Uruguay(0.302)</v>
      </c>
      <c r="P70" s="2" t="str">
        <f t="shared" si="7"/>
        <v>Iran(0.765)</v>
      </c>
      <c r="Q70" s="2" t="str">
        <f t="shared" si="8"/>
        <v>Hungary(0.658)</v>
      </c>
      <c r="R70" s="2" t="str">
        <f t="shared" si="9"/>
        <v>United States(0.277)</v>
      </c>
    </row>
    <row r="71" spans="1:18" x14ac:dyDescent="0.35">
      <c r="A71" s="4" t="s">
        <v>1205</v>
      </c>
      <c r="B71" s="4" t="s">
        <v>69</v>
      </c>
      <c r="C71" s="4" t="s">
        <v>209</v>
      </c>
      <c r="D71" s="4" t="s">
        <v>354</v>
      </c>
      <c r="E71" s="4" t="s">
        <v>494</v>
      </c>
      <c r="F71" s="4" t="s">
        <v>637</v>
      </c>
      <c r="G71" s="2" t="s">
        <v>780</v>
      </c>
      <c r="H71" s="4" t="s">
        <v>919</v>
      </c>
      <c r="I71" s="4" t="s">
        <v>1062</v>
      </c>
      <c r="J71" s="2" t="str">
        <f t="shared" si="10"/>
        <v>Kyrgyzstan(5.714)</v>
      </c>
      <c r="K71" s="2" t="str">
        <f t="shared" si="2"/>
        <v>Moldova( 13,250)</v>
      </c>
      <c r="L71" s="2" t="str">
        <f t="shared" si="3"/>
        <v>Namibia(0.823)</v>
      </c>
      <c r="M71" s="2" t="str">
        <f t="shared" si="4"/>
        <v>Kazakhstan(65.000)</v>
      </c>
      <c r="N71" s="2" t="str">
        <f t="shared" si="5"/>
        <v>Morocco(0.789)</v>
      </c>
      <c r="O71" s="2" t="str">
        <f t="shared" si="6"/>
        <v>Iraq(0.303)</v>
      </c>
      <c r="P71" s="2" t="str">
        <f t="shared" si="7"/>
        <v>Madagascar(0.766)</v>
      </c>
      <c r="Q71" s="2" t="str">
        <f t="shared" si="8"/>
        <v>Cyprus(0.661)</v>
      </c>
      <c r="R71" s="2" t="str">
        <f t="shared" si="9"/>
        <v>Bosnia and Herzegovina(0.280)</v>
      </c>
    </row>
    <row r="72" spans="1:18" x14ac:dyDescent="0.35">
      <c r="A72" s="4" t="s">
        <v>1206</v>
      </c>
      <c r="B72" s="4" t="s">
        <v>70</v>
      </c>
      <c r="C72" s="4" t="s">
        <v>210</v>
      </c>
      <c r="D72" s="4" t="s">
        <v>355</v>
      </c>
      <c r="E72" s="4" t="s">
        <v>495</v>
      </c>
      <c r="F72" s="4" t="s">
        <v>638</v>
      </c>
      <c r="G72" s="2" t="s">
        <v>781</v>
      </c>
      <c r="H72" s="4" t="s">
        <v>920</v>
      </c>
      <c r="I72" s="4" t="s">
        <v>1063</v>
      </c>
      <c r="J72" s="2" t="str">
        <f t="shared" si="10"/>
        <v>Ecuador(5.725)</v>
      </c>
      <c r="K72" s="2" t="str">
        <f t="shared" si="2"/>
        <v>South Africa( 13,392)</v>
      </c>
      <c r="L72" s="2" t="str">
        <f t="shared" si="3"/>
        <v>Cyprus(0.825)</v>
      </c>
      <c r="M72" s="2" t="str">
        <f t="shared" si="4"/>
        <v>Libya(65.200)</v>
      </c>
      <c r="N72" s="2" t="str">
        <f t="shared" si="5"/>
        <v>Japan(0.790)</v>
      </c>
      <c r="O72" s="2" t="str">
        <f t="shared" si="6"/>
        <v>Slovakia(0.305)</v>
      </c>
      <c r="P72" s="2" t="str">
        <f t="shared" si="7"/>
        <v>Costa Rica(0.766)</v>
      </c>
      <c r="Q72" s="2" t="str">
        <f t="shared" si="8"/>
        <v>Japan(0.662)</v>
      </c>
      <c r="R72" s="2" t="str">
        <f t="shared" si="9"/>
        <v>Ghana(0.280)</v>
      </c>
    </row>
    <row r="73" spans="1:18" x14ac:dyDescent="0.35">
      <c r="A73" s="4" t="s">
        <v>1207</v>
      </c>
      <c r="B73" s="4" t="s">
        <v>71</v>
      </c>
      <c r="C73" s="4" t="s">
        <v>211</v>
      </c>
      <c r="D73" s="4" t="s">
        <v>356</v>
      </c>
      <c r="E73" s="4" t="s">
        <v>496</v>
      </c>
      <c r="F73" s="4" t="s">
        <v>639</v>
      </c>
      <c r="G73" s="2" t="s">
        <v>782</v>
      </c>
      <c r="H73" s="4" t="s">
        <v>921</v>
      </c>
      <c r="I73" s="4" t="s">
        <v>1064</v>
      </c>
      <c r="J73" s="2" t="str">
        <f t="shared" si="10"/>
        <v>Bolivia(5.784)</v>
      </c>
      <c r="K73" s="2" t="str">
        <f t="shared" si="2"/>
        <v>Paraguay( 13,743)</v>
      </c>
      <c r="L73" s="2" t="str">
        <f t="shared" si="3"/>
        <v>Romania(0.832)</v>
      </c>
      <c r="M73" s="2" t="str">
        <f t="shared" si="4"/>
        <v>Vietnam(65.300)</v>
      </c>
      <c r="N73" s="2" t="str">
        <f t="shared" si="5"/>
        <v>Montenegro(0.790)</v>
      </c>
      <c r="O73" s="2" t="str">
        <f t="shared" si="6"/>
        <v>Montenegro(0.307)</v>
      </c>
      <c r="P73" s="2" t="str">
        <f t="shared" si="7"/>
        <v>India(0.767)</v>
      </c>
      <c r="Q73" s="2" t="str">
        <f t="shared" si="8"/>
        <v>Eswatini(0.662)</v>
      </c>
      <c r="R73" s="2" t="str">
        <f t="shared" si="9"/>
        <v>Dominican Republic(0.280)</v>
      </c>
    </row>
    <row r="74" spans="1:18" x14ac:dyDescent="0.35">
      <c r="A74" s="4" t="s">
        <v>1208</v>
      </c>
      <c r="B74" s="4" t="s">
        <v>72</v>
      </c>
      <c r="C74" s="4" t="s">
        <v>212</v>
      </c>
      <c r="D74" s="4" t="s">
        <v>357</v>
      </c>
      <c r="E74" s="4" t="s">
        <v>497</v>
      </c>
      <c r="F74" s="4" t="s">
        <v>640</v>
      </c>
      <c r="G74" s="2" t="s">
        <v>783</v>
      </c>
      <c r="H74" s="4" t="s">
        <v>922</v>
      </c>
      <c r="I74" s="4" t="s">
        <v>1065</v>
      </c>
      <c r="J74" s="2" t="str">
        <f t="shared" si="10"/>
        <v>Russia(5.785)</v>
      </c>
      <c r="K74" s="2" t="str">
        <f t="shared" si="2"/>
        <v>Gabon( 13,953)</v>
      </c>
      <c r="L74" s="2" t="str">
        <f t="shared" si="3"/>
        <v>China(0.834)</v>
      </c>
      <c r="M74" s="2" t="str">
        <f t="shared" si="4"/>
        <v>Brazil(65.400)</v>
      </c>
      <c r="N74" s="2" t="str">
        <f t="shared" si="5"/>
        <v>Mauritius(0.796)</v>
      </c>
      <c r="O74" s="2" t="str">
        <f t="shared" si="6"/>
        <v>Paraguay(0.313)</v>
      </c>
      <c r="P74" s="2" t="str">
        <f t="shared" si="7"/>
        <v>Russia(0.769)</v>
      </c>
      <c r="Q74" s="2" t="str">
        <f t="shared" si="8"/>
        <v>Kyrgyzstan(0.663)</v>
      </c>
      <c r="R74" s="2" t="str">
        <f t="shared" si="9"/>
        <v>Honduras(0.281)</v>
      </c>
    </row>
    <row r="75" spans="1:18" x14ac:dyDescent="0.35">
      <c r="A75" s="4" t="s">
        <v>1209</v>
      </c>
      <c r="B75" s="4" t="s">
        <v>73</v>
      </c>
      <c r="C75" s="4" t="s">
        <v>213</v>
      </c>
      <c r="D75" s="4" t="s">
        <v>358</v>
      </c>
      <c r="E75" s="4" t="s">
        <v>498</v>
      </c>
      <c r="F75" s="4" t="s">
        <v>641</v>
      </c>
      <c r="G75" s="2" t="s">
        <v>784</v>
      </c>
      <c r="H75" s="4" t="s">
        <v>923</v>
      </c>
      <c r="I75" s="4" t="s">
        <v>1066</v>
      </c>
      <c r="J75" s="2" t="str">
        <f t="shared" si="10"/>
        <v>Moldova(5.816)</v>
      </c>
      <c r="K75" s="2" t="str">
        <f t="shared" si="2"/>
        <v>Brazil( 15,035)</v>
      </c>
      <c r="L75" s="2" t="str">
        <f t="shared" si="3"/>
        <v>Colombia(0.834)</v>
      </c>
      <c r="M75" s="2" t="str">
        <f t="shared" si="4"/>
        <v>Nicaragua(65.500)</v>
      </c>
      <c r="N75" s="2" t="str">
        <f t="shared" si="5"/>
        <v>Israel(0.797)</v>
      </c>
      <c r="O75" s="2" t="str">
        <f t="shared" si="6"/>
        <v>Cambodia(0.318)</v>
      </c>
      <c r="P75" s="2" t="str">
        <f t="shared" si="7"/>
        <v>Kazakhstan(0.770)</v>
      </c>
      <c r="Q75" s="2" t="str">
        <f t="shared" si="8"/>
        <v>Tajikistan(0.668)</v>
      </c>
      <c r="R75" s="2" t="str">
        <f t="shared" si="9"/>
        <v>Guatemala(0.281)</v>
      </c>
    </row>
    <row r="76" spans="1:18" x14ac:dyDescent="0.35">
      <c r="A76" s="4" t="s">
        <v>1210</v>
      </c>
      <c r="B76" s="4" t="s">
        <v>74</v>
      </c>
      <c r="C76" s="4" t="s">
        <v>214</v>
      </c>
      <c r="D76" s="4" t="s">
        <v>359</v>
      </c>
      <c r="E76" s="4" t="s">
        <v>499</v>
      </c>
      <c r="F76" s="4" t="s">
        <v>642</v>
      </c>
      <c r="G76" s="2" t="s">
        <v>785</v>
      </c>
      <c r="H76" s="4" t="s">
        <v>924</v>
      </c>
      <c r="I76" s="4" t="s">
        <v>1067</v>
      </c>
      <c r="J76" s="2" t="str">
        <f t="shared" si="10"/>
        <v>Mauritius(5.816)</v>
      </c>
      <c r="K76" s="2" t="str">
        <f t="shared" si="2"/>
        <v>Azerbaijan( 15,181)</v>
      </c>
      <c r="L76" s="2" t="str">
        <f t="shared" si="3"/>
        <v>Mexico(0.835)</v>
      </c>
      <c r="M76" s="2" t="str">
        <f t="shared" si="4"/>
        <v>Malaysia(65.700)</v>
      </c>
      <c r="N76" s="2" t="str">
        <f t="shared" si="5"/>
        <v>Colombia(0.799)</v>
      </c>
      <c r="O76" s="2" t="str">
        <f t="shared" si="6"/>
        <v>Brazil(0.318)</v>
      </c>
      <c r="P76" s="2" t="str">
        <f t="shared" si="7"/>
        <v>Malaysia(0.771)</v>
      </c>
      <c r="Q76" s="2" t="str">
        <f t="shared" si="8"/>
        <v>Slovakia(0.668)</v>
      </c>
      <c r="R76" s="2" t="str">
        <f t="shared" si="9"/>
        <v>North Macedonia(0.284)</v>
      </c>
    </row>
    <row r="77" spans="1:18" x14ac:dyDescent="0.35">
      <c r="A77" s="4" t="s">
        <v>1211</v>
      </c>
      <c r="B77" s="4" t="s">
        <v>75</v>
      </c>
      <c r="C77" s="4" t="s">
        <v>215</v>
      </c>
      <c r="D77" s="4" t="s">
        <v>360</v>
      </c>
      <c r="E77" s="4" t="s">
        <v>500</v>
      </c>
      <c r="F77" s="4" t="s">
        <v>643</v>
      </c>
      <c r="G77" s="2" t="s">
        <v>786</v>
      </c>
      <c r="H77" s="4" t="s">
        <v>925</v>
      </c>
      <c r="I77" s="4" t="s">
        <v>1068</v>
      </c>
      <c r="J77" s="2" t="str">
        <f t="shared" si="10"/>
        <v>Dominican Republic(5.823)</v>
      </c>
      <c r="K77" s="2" t="str">
        <f t="shared" si="2"/>
        <v>Iran( 15,281)</v>
      </c>
      <c r="L77" s="2" t="str">
        <f t="shared" si="3"/>
        <v>Nicaragua(0.843)</v>
      </c>
      <c r="M77" s="2" t="str">
        <f t="shared" si="4"/>
        <v>Paraguay(65.800)</v>
      </c>
      <c r="N77" s="2" t="str">
        <f t="shared" si="5"/>
        <v>Jamaica(0.801)</v>
      </c>
      <c r="O77" s="2" t="str">
        <f t="shared" si="6"/>
        <v>Tanzania(0.318)</v>
      </c>
      <c r="P77" s="2" t="str">
        <f t="shared" si="7"/>
        <v>Mauritius(0.773)</v>
      </c>
      <c r="Q77" s="2" t="str">
        <f t="shared" si="8"/>
        <v>Mauritania(0.671)</v>
      </c>
      <c r="R77" s="2" t="str">
        <f t="shared" si="9"/>
        <v>Lesotho(0.288)</v>
      </c>
    </row>
    <row r="78" spans="1:18" x14ac:dyDescent="0.35">
      <c r="A78" s="4" t="s">
        <v>1212</v>
      </c>
      <c r="B78" s="4" t="s">
        <v>76</v>
      </c>
      <c r="C78" s="4" t="s">
        <v>216</v>
      </c>
      <c r="D78" s="4" t="s">
        <v>361</v>
      </c>
      <c r="E78" s="4" t="s">
        <v>501</v>
      </c>
      <c r="F78" s="4" t="s">
        <v>644</v>
      </c>
      <c r="G78" s="2" t="s">
        <v>787</v>
      </c>
      <c r="H78" s="4" t="s">
        <v>926</v>
      </c>
      <c r="I78" s="4" t="s">
        <v>1069</v>
      </c>
      <c r="J78" s="2" t="str">
        <f t="shared" si="10"/>
        <v>Peru(5.841)</v>
      </c>
      <c r="K78" s="2" t="str">
        <f t="shared" si="2"/>
        <v>Colombia( 15,356)</v>
      </c>
      <c r="L78" s="2" t="str">
        <f t="shared" si="3"/>
        <v>Vietnam(0.845)</v>
      </c>
      <c r="M78" s="2" t="str">
        <f t="shared" si="4"/>
        <v>Mexico(65.800)</v>
      </c>
      <c r="N78" s="2" t="str">
        <f t="shared" si="5"/>
        <v>Taiwan Province of China(0.802)</v>
      </c>
      <c r="O78" s="2" t="str">
        <f t="shared" si="6"/>
        <v>Libya(0.321)</v>
      </c>
      <c r="P78" s="2" t="str">
        <f t="shared" si="7"/>
        <v>Eswatini(0.776)</v>
      </c>
      <c r="Q78" s="2" t="str">
        <f t="shared" si="8"/>
        <v>Bahrain(0.671)</v>
      </c>
      <c r="R78" s="2" t="str">
        <f t="shared" si="9"/>
        <v>Jamaica(0.289)</v>
      </c>
    </row>
    <row r="79" spans="1:18" x14ac:dyDescent="0.35">
      <c r="A79" s="4" t="s">
        <v>1213</v>
      </c>
      <c r="B79" s="4" t="s">
        <v>77</v>
      </c>
      <c r="C79" s="4" t="s">
        <v>217</v>
      </c>
      <c r="D79" s="4" t="s">
        <v>362</v>
      </c>
      <c r="E79" s="4" t="s">
        <v>502</v>
      </c>
      <c r="F79" s="4" t="s">
        <v>645</v>
      </c>
      <c r="G79" s="2" t="s">
        <v>788</v>
      </c>
      <c r="H79" s="4" t="s">
        <v>927</v>
      </c>
      <c r="I79" s="4" t="s">
        <v>1070</v>
      </c>
      <c r="J79" s="2" t="str">
        <f t="shared" si="10"/>
        <v>Jamaica(5.842)</v>
      </c>
      <c r="K79" s="2" t="str">
        <f t="shared" si="2"/>
        <v>Albania( 15,399)</v>
      </c>
      <c r="L79" s="2" t="str">
        <f t="shared" si="3"/>
        <v>State of Palestine(0.845)</v>
      </c>
      <c r="M79" s="2" t="str">
        <f t="shared" si="4"/>
        <v>Kyrgyzstan(65.800)</v>
      </c>
      <c r="N79" s="2" t="str">
        <f t="shared" si="5"/>
        <v>France(0.803)</v>
      </c>
      <c r="O79" s="2" t="str">
        <f t="shared" si="6"/>
        <v>Chile(0.328)</v>
      </c>
      <c r="P79" s="2" t="str">
        <f t="shared" si="7"/>
        <v>Lithuania(0.776)</v>
      </c>
      <c r="Q79" s="2" t="str">
        <f t="shared" si="8"/>
        <v>Latvia(0.672)</v>
      </c>
      <c r="R79" s="2" t="str">
        <f t="shared" si="9"/>
        <v>Canada(0.289)</v>
      </c>
    </row>
    <row r="80" spans="1:18" x14ac:dyDescent="0.35">
      <c r="A80" s="4" t="s">
        <v>1214</v>
      </c>
      <c r="B80" s="4" t="s">
        <v>78</v>
      </c>
      <c r="C80" s="4" t="s">
        <v>218</v>
      </c>
      <c r="D80" s="4" t="s">
        <v>363</v>
      </c>
      <c r="E80" s="4" t="s">
        <v>503</v>
      </c>
      <c r="F80" s="4" t="s">
        <v>646</v>
      </c>
      <c r="G80" s="2" t="s">
        <v>789</v>
      </c>
      <c r="H80" s="4" t="s">
        <v>928</v>
      </c>
      <c r="I80" s="4" t="s">
        <v>1071</v>
      </c>
      <c r="J80" s="2" t="str">
        <f t="shared" si="10"/>
        <v>Libya(5.866)</v>
      </c>
      <c r="K80" s="2" t="str">
        <f t="shared" si="2"/>
        <v>Armenia( 15,652)</v>
      </c>
      <c r="L80" s="2" t="str">
        <f t="shared" si="3"/>
        <v>Brazil(0.845)</v>
      </c>
      <c r="M80" s="2" t="str">
        <f t="shared" si="4"/>
        <v>Bahrain(65.900)</v>
      </c>
      <c r="N80" s="2" t="str">
        <f t="shared" si="5"/>
        <v>Armenia(0.803)</v>
      </c>
      <c r="O80" s="2" t="str">
        <f t="shared" si="6"/>
        <v>Mauritius(0.329)</v>
      </c>
      <c r="P80" s="2" t="str">
        <f t="shared" si="7"/>
        <v>Nepal(0.777)</v>
      </c>
      <c r="Q80" s="2" t="str">
        <f t="shared" si="8"/>
        <v>Guinea(0.672)</v>
      </c>
      <c r="R80" s="2" t="str">
        <f t="shared" si="9"/>
        <v>Costa Rica(0.290)</v>
      </c>
    </row>
    <row r="81" spans="1:18" x14ac:dyDescent="0.35">
      <c r="A81" s="4" t="s">
        <v>1215</v>
      </c>
      <c r="B81" s="4" t="s">
        <v>79</v>
      </c>
      <c r="C81" s="4" t="s">
        <v>219</v>
      </c>
      <c r="D81" s="4" t="s">
        <v>364</v>
      </c>
      <c r="E81" s="4" t="s">
        <v>504</v>
      </c>
      <c r="F81" s="4" t="s">
        <v>647</v>
      </c>
      <c r="G81" s="2" t="s">
        <v>790</v>
      </c>
      <c r="H81" s="4" t="s">
        <v>929</v>
      </c>
      <c r="I81" s="4" t="s">
        <v>1072</v>
      </c>
      <c r="J81" s="2" t="str">
        <f t="shared" si="10"/>
        <v>Bosnia and Herzegovina(5.877)</v>
      </c>
      <c r="K81" s="2" t="str">
        <f t="shared" si="2"/>
        <v>Botswana( 15,702)</v>
      </c>
      <c r="L81" s="2" t="str">
        <f t="shared" si="3"/>
        <v>Dominican Republic(0.846)</v>
      </c>
      <c r="M81" s="2" t="str">
        <f t="shared" si="4"/>
        <v>Lebanon(66.000)</v>
      </c>
      <c r="N81" s="2" t="str">
        <f t="shared" si="5"/>
        <v>Chile(0.804)</v>
      </c>
      <c r="O81" s="2" t="str">
        <f t="shared" si="6"/>
        <v>Chad(0.330)</v>
      </c>
      <c r="P81" s="2" t="str">
        <f t="shared" si="7"/>
        <v>Turkiye(0.777)</v>
      </c>
      <c r="Q81" s="2" t="str">
        <f t="shared" si="8"/>
        <v>Brazil(0.680)</v>
      </c>
      <c r="R81" s="2" t="str">
        <f t="shared" si="9"/>
        <v>Cyprus(0.291)</v>
      </c>
    </row>
    <row r="82" spans="1:18" x14ac:dyDescent="0.35">
      <c r="A82" s="4" t="s">
        <v>1216</v>
      </c>
      <c r="B82" s="4" t="s">
        <v>80</v>
      </c>
      <c r="C82" s="4" t="s">
        <v>220</v>
      </c>
      <c r="D82" s="4" t="s">
        <v>365</v>
      </c>
      <c r="E82" s="4" t="s">
        <v>505</v>
      </c>
      <c r="F82" s="4" t="s">
        <v>648</v>
      </c>
      <c r="G82" s="2" t="s">
        <v>791</v>
      </c>
      <c r="H82" s="4" t="s">
        <v>930</v>
      </c>
      <c r="I82" s="4" t="s">
        <v>1073</v>
      </c>
      <c r="J82" s="2" t="str">
        <f t="shared" si="10"/>
        <v>Greece(5.934)</v>
      </c>
      <c r="K82" s="2" t="str">
        <f t="shared" ref="K82:K140" si="11">MID(B82,FIND(" ",B82)+1,LEN(B82)-FIND(" ",B82))</f>
        <v>Bosnia and Herzegovina( 16,629)</v>
      </c>
      <c r="L82" s="2" t="str">
        <f t="shared" ref="L82:L144" si="12">MID(C82,FIND(" ",C82)+1,LEN(C82)-FIND(" ",C82))</f>
        <v>Greece(0.848)</v>
      </c>
      <c r="M82" s="2" t="str">
        <f t="shared" ref="M82:M140" si="13">MID(D82,FIND(" ",D82)+1,LEN(D82)-FIND(" ",D82))</f>
        <v>United Arab Emirates(66.000)</v>
      </c>
      <c r="N82" s="2" t="str">
        <f t="shared" ref="N82:N143" si="14">MID(E82,FIND(" ",E82)+1,LEN(E82)-FIND(" ",E82))</f>
        <v>Nepal(0.805)</v>
      </c>
      <c r="O82" s="2" t="str">
        <f t="shared" ref="O82:O144" si="15">MID(F82,FIND(" ",F82)+1,LEN(F82)-FIND(" ",F82))</f>
        <v>Sri Lanka(0.331)</v>
      </c>
      <c r="P82" s="2" t="str">
        <f t="shared" ref="P82:P139" si="16">MID(G82,FIND(" ",G82)+1,LEN(G82)-FIND(" ",G82))</f>
        <v>Yemen(0.779)</v>
      </c>
      <c r="Q82" s="2" t="str">
        <f t="shared" ref="Q82:Q144" si="17">MID(H82,FIND(" ",H82)+1,LEN(H82)-FIND(" ",H82))</f>
        <v>France(0.684)</v>
      </c>
      <c r="R82" s="2" t="str">
        <f t="shared" ref="R82:R144" si="18">MID(I82,FIND(" ",I82)+1,LEN(I82)-FIND(" ",I82))</f>
        <v>Yemen(0.298)</v>
      </c>
    </row>
    <row r="83" spans="1:18" x14ac:dyDescent="0.35">
      <c r="A83" s="4" t="s">
        <v>1217</v>
      </c>
      <c r="B83" s="4" t="s">
        <v>81</v>
      </c>
      <c r="C83" s="4" t="s">
        <v>221</v>
      </c>
      <c r="D83" s="4" t="s">
        <v>366</v>
      </c>
      <c r="E83" s="4" t="s">
        <v>506</v>
      </c>
      <c r="F83" s="4" t="s">
        <v>649</v>
      </c>
      <c r="G83" s="2" t="s">
        <v>792</v>
      </c>
      <c r="H83" s="4" t="s">
        <v>931</v>
      </c>
      <c r="I83" s="4" t="s">
        <v>1074</v>
      </c>
      <c r="J83" s="2" t="str">
        <f t="shared" si="10"/>
        <v>Croatia(5.942)</v>
      </c>
      <c r="K83" s="2" t="str">
        <f t="shared" si="11"/>
        <v>Georgia( 16,733)</v>
      </c>
      <c r="L83" s="2" t="str">
        <f t="shared" si="12"/>
        <v>North Macedonia(0.848)</v>
      </c>
      <c r="M83" s="2" t="str">
        <f t="shared" si="13"/>
        <v>North Macedonia(66.100)</v>
      </c>
      <c r="N83" s="2" t="str">
        <f t="shared" si="14"/>
        <v>Serbia(0.813)</v>
      </c>
      <c r="O83" s="2" t="str">
        <f t="shared" si="15"/>
        <v>China(0.335)</v>
      </c>
      <c r="P83" s="2" t="str">
        <f t="shared" si="16"/>
        <v>Chad(0.780)</v>
      </c>
      <c r="Q83" s="2" t="str">
        <f t="shared" si="17"/>
        <v>Singapore(0.684)</v>
      </c>
      <c r="R83" s="2" t="str">
        <f t="shared" si="18"/>
        <v>El Salvador(0.301)</v>
      </c>
    </row>
    <row r="84" spans="1:18" x14ac:dyDescent="0.35">
      <c r="A84" s="4" t="s">
        <v>1218</v>
      </c>
      <c r="B84" s="4" t="s">
        <v>82</v>
      </c>
      <c r="C84" s="4" t="s">
        <v>222</v>
      </c>
      <c r="D84" s="4" t="s">
        <v>367</v>
      </c>
      <c r="E84" s="4" t="s">
        <v>507</v>
      </c>
      <c r="F84" s="4" t="s">
        <v>650</v>
      </c>
      <c r="G84" s="2" t="s">
        <v>793</v>
      </c>
      <c r="H84" s="4" t="s">
        <v>932</v>
      </c>
      <c r="I84" s="4" t="s">
        <v>1075</v>
      </c>
      <c r="J84" s="2" t="str">
        <f t="shared" si="10"/>
        <v>Bahrain(5.959)</v>
      </c>
      <c r="K84" s="2" t="str">
        <f t="shared" si="11"/>
        <v>North Macedonia( 17,140)</v>
      </c>
      <c r="L84" s="2" t="str">
        <f t="shared" si="12"/>
        <v>Kosovo(0.848)</v>
      </c>
      <c r="M84" s="2" t="str">
        <f t="shared" si="13"/>
        <v>United States(66.100)</v>
      </c>
      <c r="N84" s="2" t="str">
        <f t="shared" si="14"/>
        <v>Latvia(0.815)</v>
      </c>
      <c r="O84" s="2" t="str">
        <f t="shared" si="15"/>
        <v>Albania(0.335)</v>
      </c>
      <c r="P84" s="2" t="str">
        <f t="shared" si="16"/>
        <v>Zambia(0.785)</v>
      </c>
      <c r="Q84" s="2" t="str">
        <f t="shared" si="17"/>
        <v>Mauritius(0.686)</v>
      </c>
      <c r="R84" s="2" t="str">
        <f t="shared" si="18"/>
        <v>Italy(0.303)</v>
      </c>
    </row>
    <row r="85" spans="1:18" x14ac:dyDescent="0.35">
      <c r="A85" s="4" t="s">
        <v>1219</v>
      </c>
      <c r="B85" s="4" t="s">
        <v>83</v>
      </c>
      <c r="C85" s="4" t="s">
        <v>223</v>
      </c>
      <c r="D85" s="4" t="s">
        <v>368</v>
      </c>
      <c r="E85" s="4" t="s">
        <v>508</v>
      </c>
      <c r="F85" s="4" t="s">
        <v>651</v>
      </c>
      <c r="G85" s="2" t="s">
        <v>794</v>
      </c>
      <c r="H85" s="4" t="s">
        <v>933</v>
      </c>
      <c r="I85" s="4" t="s">
        <v>1076</v>
      </c>
      <c r="J85" s="2" t="str">
        <f t="shared" si="10"/>
        <v>Honduras(5.968)</v>
      </c>
      <c r="K85" s="2" t="str">
        <f t="shared" si="11"/>
        <v>Thailand( 17,582)</v>
      </c>
      <c r="L85" s="2" t="str">
        <f t="shared" si="12"/>
        <v>Moldova(0.849)</v>
      </c>
      <c r="M85" s="2" t="str">
        <f t="shared" si="13"/>
        <v>Latvia(66.200)</v>
      </c>
      <c r="N85" s="2" t="str">
        <f t="shared" si="14"/>
        <v>Azerbaijan(0.816)</v>
      </c>
      <c r="O85" s="2" t="str">
        <f t="shared" si="15"/>
        <v>Honduras(0.340)</v>
      </c>
      <c r="P85" s="2" t="str">
        <f t="shared" si="16"/>
        <v>Guinea(0.787)</v>
      </c>
      <c r="Q85" s="2" t="str">
        <f t="shared" si="17"/>
        <v>Tanzania(0.687)</v>
      </c>
      <c r="R85" s="2" t="str">
        <f t="shared" si="18"/>
        <v>Portugal(0.303)</v>
      </c>
    </row>
    <row r="86" spans="1:18" x14ac:dyDescent="0.35">
      <c r="A86" s="4" t="s">
        <v>1220</v>
      </c>
      <c r="B86" s="4" t="s">
        <v>84</v>
      </c>
      <c r="C86" s="4" t="s">
        <v>224</v>
      </c>
      <c r="D86" s="4" t="s">
        <v>369</v>
      </c>
      <c r="E86" s="4" t="s">
        <v>509</v>
      </c>
      <c r="F86" s="4" t="s">
        <v>652</v>
      </c>
      <c r="G86" s="2" t="s">
        <v>795</v>
      </c>
      <c r="H86" s="4" t="s">
        <v>934</v>
      </c>
      <c r="I86" s="4" t="s">
        <v>1077</v>
      </c>
      <c r="J86" s="2" t="str">
        <f t="shared" si="10"/>
        <v>China(5.973)</v>
      </c>
      <c r="K86" s="2" t="str">
        <f t="shared" si="11"/>
        <v>China( 18,230)</v>
      </c>
      <c r="L86" s="2" t="str">
        <f t="shared" si="12"/>
        <v>Yemen(0.850)</v>
      </c>
      <c r="M86" s="2" t="str">
        <f t="shared" si="13"/>
        <v>Bulgaria(66.300)</v>
      </c>
      <c r="N86" s="2" t="str">
        <f t="shared" si="14"/>
        <v>Georgia(0.825)</v>
      </c>
      <c r="O86" s="2" t="str">
        <f t="shared" si="15"/>
        <v>Ghana(0.353)</v>
      </c>
      <c r="P86" s="2" t="str">
        <f t="shared" si="16"/>
        <v>Ethiopia(0.796)</v>
      </c>
      <c r="Q86" s="2" t="str">
        <f t="shared" si="17"/>
        <v>Germany(0.693)</v>
      </c>
      <c r="R86" s="2" t="str">
        <f t="shared" si="18"/>
        <v>Israel(0.304)</v>
      </c>
    </row>
    <row r="87" spans="1:18" x14ac:dyDescent="0.35">
      <c r="A87" s="4" t="s">
        <v>1221</v>
      </c>
      <c r="B87" s="4" t="s">
        <v>85</v>
      </c>
      <c r="C87" s="4" t="s">
        <v>225</v>
      </c>
      <c r="D87" s="4" t="s">
        <v>370</v>
      </c>
      <c r="E87" s="4" t="s">
        <v>510</v>
      </c>
      <c r="F87" s="4" t="s">
        <v>653</v>
      </c>
      <c r="G87" s="2" t="s">
        <v>796</v>
      </c>
      <c r="H87" s="4" t="s">
        <v>935</v>
      </c>
      <c r="I87" s="4" t="s">
        <v>1078</v>
      </c>
      <c r="J87" s="2" t="str">
        <f t="shared" si="10"/>
        <v>Malaysia(5.975)</v>
      </c>
      <c r="K87" s="2" t="str">
        <f t="shared" si="11"/>
        <v>Dominican Republic( 19,295)</v>
      </c>
      <c r="L87" s="2" t="str">
        <f t="shared" si="12"/>
        <v>Ukraine(0.863)</v>
      </c>
      <c r="M87" s="2" t="str">
        <f t="shared" si="13"/>
        <v>Iran(66.300)</v>
      </c>
      <c r="N87" s="2" t="str">
        <f t="shared" si="14"/>
        <v>Argentina(0.825)</v>
      </c>
      <c r="O87" s="2" t="str">
        <f t="shared" si="15"/>
        <v>India(0.354)</v>
      </c>
      <c r="P87" s="2" t="str">
        <f t="shared" si="16"/>
        <v>Serbia(0.797)</v>
      </c>
      <c r="Q87" s="2" t="str">
        <f t="shared" si="17"/>
        <v>United Arab Emirates(0.696)</v>
      </c>
      <c r="R87" s="2" t="str">
        <f t="shared" si="18"/>
        <v>Azerbaijan(0.308)</v>
      </c>
    </row>
    <row r="88" spans="1:18" x14ac:dyDescent="0.35">
      <c r="A88" s="4" t="s">
        <v>1222</v>
      </c>
      <c r="B88" s="4" t="s">
        <v>86</v>
      </c>
      <c r="C88" s="4" t="s">
        <v>226</v>
      </c>
      <c r="D88" s="4" t="s">
        <v>371</v>
      </c>
      <c r="E88" s="4" t="s">
        <v>511</v>
      </c>
      <c r="F88" s="4" t="s">
        <v>654</v>
      </c>
      <c r="G88" s="2" t="s">
        <v>797</v>
      </c>
      <c r="H88" s="4" t="s">
        <v>936</v>
      </c>
      <c r="I88" s="4" t="s">
        <v>1079</v>
      </c>
      <c r="J88" s="2" t="str">
        <f t="shared" si="10"/>
        <v>Thailand(5.976)</v>
      </c>
      <c r="K88" s="2" t="str">
        <f t="shared" si="11"/>
        <v>Mexico( 19,520)</v>
      </c>
      <c r="L88" s="2" t="str">
        <f t="shared" si="12"/>
        <v>Montenegro(0.865)</v>
      </c>
      <c r="M88" s="2" t="str">
        <f t="shared" si="13"/>
        <v>Algeria(66.400)</v>
      </c>
      <c r="N88" s="2" t="str">
        <f t="shared" si="14"/>
        <v>Brazil(0.829)</v>
      </c>
      <c r="O88" s="2" t="str">
        <f t="shared" si="15"/>
        <v>Guinea(0.356)</v>
      </c>
      <c r="P88" s="2" t="str">
        <f t="shared" si="16"/>
        <v>Gabon(0.798)</v>
      </c>
      <c r="Q88" s="2" t="str">
        <f t="shared" si="17"/>
        <v>Laos(0.700)</v>
      </c>
      <c r="R88" s="2" t="str">
        <f t="shared" si="18"/>
        <v>Argentina(0.310)</v>
      </c>
    </row>
    <row r="89" spans="1:18" x14ac:dyDescent="0.35">
      <c r="A89" s="4" t="s">
        <v>1223</v>
      </c>
      <c r="B89" s="4" t="s">
        <v>87</v>
      </c>
      <c r="C89" s="4" t="s">
        <v>227</v>
      </c>
      <c r="D89" s="4" t="s">
        <v>372</v>
      </c>
      <c r="E89" s="4" t="s">
        <v>512</v>
      </c>
      <c r="F89" s="4" t="s">
        <v>655</v>
      </c>
      <c r="G89" s="2" t="s">
        <v>798</v>
      </c>
      <c r="H89" s="4" t="s">
        <v>937</v>
      </c>
      <c r="I89" s="4" t="s">
        <v>1080</v>
      </c>
      <c r="J89" s="2" t="str">
        <f t="shared" si="10"/>
        <v>Paraguay(5.977)</v>
      </c>
      <c r="K89" s="2" t="str">
        <f t="shared" si="11"/>
        <v>Libya( 19,797)</v>
      </c>
      <c r="L89" s="2" t="str">
        <f t="shared" si="12"/>
        <v>Bosnia and Herzegovina(0.865)</v>
      </c>
      <c r="M89" s="2" t="str">
        <f t="shared" si="13"/>
        <v>Jamaica(66.600)</v>
      </c>
      <c r="N89" s="2" t="str">
        <f t="shared" si="14"/>
        <v>Albania(0.832)</v>
      </c>
      <c r="O89" s="2" t="str">
        <f t="shared" si="15"/>
        <v>Italy(0.356)</v>
      </c>
      <c r="P89" s="2" t="str">
        <f t="shared" si="16"/>
        <v>Greece(0.807)</v>
      </c>
      <c r="Q89" s="2" t="str">
        <f t="shared" si="17"/>
        <v>China(0.702)</v>
      </c>
      <c r="R89" s="2" t="str">
        <f t="shared" si="18"/>
        <v>Colombia(0.312)</v>
      </c>
    </row>
    <row r="90" spans="1:18" x14ac:dyDescent="0.35">
      <c r="A90" s="4" t="s">
        <v>1224</v>
      </c>
      <c r="B90" s="4" t="s">
        <v>88</v>
      </c>
      <c r="C90" s="4" t="s">
        <v>228</v>
      </c>
      <c r="D90" s="4" t="s">
        <v>373</v>
      </c>
      <c r="E90" s="4" t="s">
        <v>513</v>
      </c>
      <c r="F90" s="4" t="s">
        <v>656</v>
      </c>
      <c r="G90" s="2" t="s">
        <v>799</v>
      </c>
      <c r="H90" s="4" t="s">
        <v>938</v>
      </c>
      <c r="I90" s="4" t="s">
        <v>1081</v>
      </c>
      <c r="J90" s="2" t="str">
        <f t="shared" si="10"/>
        <v>Hungary(6.017)</v>
      </c>
      <c r="K90" s="2" t="str">
        <f t="shared" si="11"/>
        <v>Serbia( 20,498)</v>
      </c>
      <c r="L90" s="2" t="str">
        <f t="shared" si="12"/>
        <v>Venezuela(0.866)</v>
      </c>
      <c r="M90" s="2" t="str">
        <f t="shared" si="13"/>
        <v>Lithuania(66.700)</v>
      </c>
      <c r="N90" s="2" t="str">
        <f t="shared" si="14"/>
        <v>Moldova(0.836)</v>
      </c>
      <c r="O90" s="2" t="str">
        <f t="shared" si="15"/>
        <v>Laos(0.357)</v>
      </c>
      <c r="P90" s="2" t="str">
        <f t="shared" si="16"/>
        <v>Mali(0.812)</v>
      </c>
      <c r="Q90" s="2" t="str">
        <f t="shared" si="17"/>
        <v>Jamaica(0.702)</v>
      </c>
      <c r="R90" s="2" t="str">
        <f t="shared" si="18"/>
        <v>Ethiopia(0.315)</v>
      </c>
    </row>
    <row r="91" spans="1:18" x14ac:dyDescent="0.35">
      <c r="A91" s="4" t="s">
        <v>1225</v>
      </c>
      <c r="B91" s="4" t="s">
        <v>89</v>
      </c>
      <c r="C91" s="4" t="s">
        <v>229</v>
      </c>
      <c r="D91" s="4" t="s">
        <v>374</v>
      </c>
      <c r="E91" s="4" t="s">
        <v>514</v>
      </c>
      <c r="F91" s="4" t="s">
        <v>657</v>
      </c>
      <c r="G91" s="2" t="s">
        <v>800</v>
      </c>
      <c r="H91" s="4" t="s">
        <v>939</v>
      </c>
      <c r="I91" s="4" t="s">
        <v>1082</v>
      </c>
      <c r="J91" s="2" t="str">
        <f t="shared" si="10"/>
        <v>Portugal(6.030)</v>
      </c>
      <c r="K91" s="2" t="str">
        <f t="shared" si="11"/>
        <v>Costa Rica( 21,882)</v>
      </c>
      <c r="L91" s="2" t="str">
        <f t="shared" si="12"/>
        <v>Jamaica(0.867)</v>
      </c>
      <c r="M91" s="2" t="str">
        <f t="shared" si="13"/>
        <v>Romania(66.800)</v>
      </c>
      <c r="N91" s="2" t="str">
        <f t="shared" si="14"/>
        <v>Germany(0.839)</v>
      </c>
      <c r="O91" s="2" t="str">
        <f t="shared" si="15"/>
        <v>France(0.360)</v>
      </c>
      <c r="P91" s="2" t="str">
        <f t="shared" si="16"/>
        <v>Afghanistan(0.813)</v>
      </c>
      <c r="Q91" s="2" t="str">
        <f t="shared" si="17"/>
        <v>Netherlands(0.706)</v>
      </c>
      <c r="R91" s="2" t="str">
        <f t="shared" si="18"/>
        <v>Philippines(0.316)</v>
      </c>
    </row>
    <row r="92" spans="1:18" x14ac:dyDescent="0.35">
      <c r="A92" s="4" t="s">
        <v>1226</v>
      </c>
      <c r="B92" s="4" t="s">
        <v>90</v>
      </c>
      <c r="C92" s="4" t="s">
        <v>230</v>
      </c>
      <c r="D92" s="4" t="s">
        <v>375</v>
      </c>
      <c r="E92" s="4" t="s">
        <v>515</v>
      </c>
      <c r="F92" s="4" t="s">
        <v>658</v>
      </c>
      <c r="G92" s="2" t="s">
        <v>801</v>
      </c>
      <c r="H92" s="4" t="s">
        <v>940</v>
      </c>
      <c r="I92" s="4" t="s">
        <v>1083</v>
      </c>
      <c r="J92" s="2" t="str">
        <f t="shared" si="10"/>
        <v>Vietnam(6.043)</v>
      </c>
      <c r="K92" s="2" t="str">
        <f t="shared" si="11"/>
        <v>Argentina( 21,951)</v>
      </c>
      <c r="L92" s="2" t="str">
        <f t="shared" si="12"/>
        <v>United Kingdom(0.868)</v>
      </c>
      <c r="M92" s="2" t="str">
        <f t="shared" si="13"/>
        <v>Serbia(66.900)</v>
      </c>
      <c r="N92" s="2" t="str">
        <f t="shared" si="14"/>
        <v>Austria(0.841)</v>
      </c>
      <c r="O92" s="2" t="str">
        <f t="shared" si="15"/>
        <v>Hungary(0.361)</v>
      </c>
      <c r="P92" s="2" t="str">
        <f t="shared" si="16"/>
        <v>Venezuela(0.816)</v>
      </c>
      <c r="Q92" s="2" t="str">
        <f t="shared" si="17"/>
        <v>Madagascar(0.707)</v>
      </c>
      <c r="R92" s="2" t="str">
        <f t="shared" si="18"/>
        <v>Laos(0.317)</v>
      </c>
    </row>
    <row r="93" spans="1:18" x14ac:dyDescent="0.35">
      <c r="A93" s="4" t="s">
        <v>1227</v>
      </c>
      <c r="B93" s="4" t="s">
        <v>91</v>
      </c>
      <c r="C93" s="4" t="s">
        <v>231</v>
      </c>
      <c r="D93" s="4" t="s">
        <v>376</v>
      </c>
      <c r="E93" s="4" t="s">
        <v>516</v>
      </c>
      <c r="F93" s="4" t="s">
        <v>659</v>
      </c>
      <c r="G93" s="2" t="s">
        <v>802</v>
      </c>
      <c r="H93" s="4" t="s">
        <v>941</v>
      </c>
      <c r="I93" s="4" t="s">
        <v>1084</v>
      </c>
      <c r="J93" s="2" t="str">
        <f t="shared" si="10"/>
        <v>Philippines(6.048)</v>
      </c>
      <c r="K93" s="2" t="str">
        <f t="shared" si="11"/>
        <v>Mauritius( 22,502)</v>
      </c>
      <c r="L93" s="2" t="str">
        <f t="shared" si="12"/>
        <v>Italy(0.869)</v>
      </c>
      <c r="M93" s="2" t="str">
        <f t="shared" si="13"/>
        <v>Tunisia(66.900)</v>
      </c>
      <c r="N93" s="2" t="str">
        <f t="shared" si="14"/>
        <v>China(0.843)</v>
      </c>
      <c r="O93" s="2" t="str">
        <f t="shared" si="15"/>
        <v>Spain(0.363)</v>
      </c>
      <c r="P93" s="2" t="str">
        <f t="shared" si="16"/>
        <v>Lesotho(0.818)</v>
      </c>
      <c r="Q93" s="2" t="str">
        <f t="shared" si="17"/>
        <v>United Kingdom(0.709)</v>
      </c>
      <c r="R93" s="2" t="str">
        <f t="shared" si="18"/>
        <v>Montenegro(0.317)</v>
      </c>
    </row>
    <row r="94" spans="1:18" x14ac:dyDescent="0.35">
      <c r="A94" s="4" t="s">
        <v>1228</v>
      </c>
      <c r="B94" s="4" t="s">
        <v>92</v>
      </c>
      <c r="C94" s="4" t="s">
        <v>232</v>
      </c>
      <c r="D94" s="4" t="s">
        <v>377</v>
      </c>
      <c r="E94" s="4" t="s">
        <v>517</v>
      </c>
      <c r="F94" s="4" t="s">
        <v>660</v>
      </c>
      <c r="G94" s="2" t="s">
        <v>803</v>
      </c>
      <c r="H94" s="4" t="s">
        <v>942</v>
      </c>
      <c r="I94" s="4" t="s">
        <v>1085</v>
      </c>
      <c r="J94" s="2" t="str">
        <f t="shared" si="10"/>
        <v>South Korea(6.058)</v>
      </c>
      <c r="K94" s="2" t="str">
        <f t="shared" si="11"/>
        <v>Montenegro( 22,509)</v>
      </c>
      <c r="L94" s="2" t="str">
        <f t="shared" si="12"/>
        <v>Austria(0.872)</v>
      </c>
      <c r="M94" s="2" t="str">
        <f t="shared" si="13"/>
        <v>Montenegro(67.000)</v>
      </c>
      <c r="N94" s="2" t="str">
        <f t="shared" si="14"/>
        <v>Tanzania(0.846)</v>
      </c>
      <c r="O94" s="2" t="str">
        <f t="shared" si="15"/>
        <v>Latvia(0.364)</v>
      </c>
      <c r="P94" s="2" t="str">
        <f t="shared" si="16"/>
        <v>State of Palestine(0.822)</v>
      </c>
      <c r="Q94" s="2" t="str">
        <f t="shared" si="17"/>
        <v>Lesotho(0.709)</v>
      </c>
      <c r="R94" s="2" t="str">
        <f t="shared" si="18"/>
        <v>Nicaragua(0.322)</v>
      </c>
    </row>
    <row r="95" spans="1:18" x14ac:dyDescent="0.35">
      <c r="A95" s="4" t="s">
        <v>1229</v>
      </c>
      <c r="B95" s="4" t="s">
        <v>93</v>
      </c>
      <c r="C95" s="4" t="s">
        <v>233</v>
      </c>
      <c r="D95" s="4" t="s">
        <v>378</v>
      </c>
      <c r="E95" s="4" t="s">
        <v>518</v>
      </c>
      <c r="F95" s="4" t="s">
        <v>661</v>
      </c>
      <c r="G95" s="2" t="s">
        <v>804</v>
      </c>
      <c r="H95" s="4" t="s">
        <v>943</v>
      </c>
      <c r="I95" s="4" t="s">
        <v>1086</v>
      </c>
      <c r="J95" s="2" t="str">
        <f t="shared" si="10"/>
        <v>Japan(6.060)</v>
      </c>
      <c r="K95" s="2" t="str">
        <f t="shared" si="11"/>
        <v>Uruguay( 24,182)</v>
      </c>
      <c r="L95" s="2" t="str">
        <f t="shared" si="12"/>
        <v>Tajikistan(0.873)</v>
      </c>
      <c r="M95" s="2" t="str">
        <f t="shared" si="13"/>
        <v>Sri Lanka(67.000)</v>
      </c>
      <c r="N95" s="2" t="str">
        <f t="shared" si="14"/>
        <v>United Kingdom(0.849)</v>
      </c>
      <c r="O95" s="2" t="str">
        <f t="shared" si="15"/>
        <v>Saudi Arabia(0.368)</v>
      </c>
      <c r="P95" s="2" t="str">
        <f t="shared" si="16"/>
        <v>Botswana(0.822)</v>
      </c>
      <c r="Q95" s="2" t="str">
        <f t="shared" si="17"/>
        <v>Argentina(0.710)</v>
      </c>
      <c r="R95" s="2" t="str">
        <f t="shared" si="18"/>
        <v>Spain(0.323)</v>
      </c>
    </row>
    <row r="96" spans="1:18" x14ac:dyDescent="0.35">
      <c r="A96" s="4" t="s">
        <v>1230</v>
      </c>
      <c r="B96" s="4" t="s">
        <v>94</v>
      </c>
      <c r="C96" s="4" t="s">
        <v>234</v>
      </c>
      <c r="D96" s="4" t="s">
        <v>379</v>
      </c>
      <c r="E96" s="4" t="s">
        <v>519</v>
      </c>
      <c r="F96" s="4" t="s">
        <v>662</v>
      </c>
      <c r="G96" s="2" t="s">
        <v>805</v>
      </c>
      <c r="H96" s="4" t="s">
        <v>944</v>
      </c>
      <c r="I96" s="4" t="s">
        <v>1087</v>
      </c>
      <c r="J96" s="2" t="str">
        <f t="shared" si="10"/>
        <v>Cyprus(6.068)</v>
      </c>
      <c r="K96" s="2" t="str">
        <f t="shared" si="11"/>
        <v>Chile( 25,671)</v>
      </c>
      <c r="L96" s="2" t="str">
        <f t="shared" si="12"/>
        <v>Taiwan Province of China(0.875)</v>
      </c>
      <c r="M96" s="2" t="str">
        <f t="shared" si="13"/>
        <v>Argentina(67.100)</v>
      </c>
      <c r="N96" s="2" t="str">
        <f t="shared" si="14"/>
        <v>Romania(0.851)</v>
      </c>
      <c r="O96" s="2" t="str">
        <f t="shared" si="15"/>
        <v>Russia(0.377)</v>
      </c>
      <c r="P96" s="2" t="str">
        <f t="shared" si="16"/>
        <v>Morocco(0.822)</v>
      </c>
      <c r="Q96" s="2" t="str">
        <f t="shared" si="17"/>
        <v>Taiwan Province of China(0.710)</v>
      </c>
      <c r="R96" s="2" t="str">
        <f t="shared" si="18"/>
        <v>Sri Lanka(0.326)</v>
      </c>
    </row>
    <row r="97" spans="1:18" x14ac:dyDescent="0.35">
      <c r="A97" s="4" t="s">
        <v>1231</v>
      </c>
      <c r="B97" s="4" t="s">
        <v>95</v>
      </c>
      <c r="C97" s="4" t="s">
        <v>235</v>
      </c>
      <c r="D97" s="4" t="s">
        <v>380</v>
      </c>
      <c r="E97" s="4" t="s">
        <v>520</v>
      </c>
      <c r="F97" s="4" t="s">
        <v>663</v>
      </c>
      <c r="G97" s="2" t="s">
        <v>806</v>
      </c>
      <c r="H97" s="4" t="s">
        <v>945</v>
      </c>
      <c r="I97" s="4" t="s">
        <v>1088</v>
      </c>
      <c r="J97" s="2" t="str">
        <f t="shared" si="10"/>
        <v>Kazakhstan(6.188)</v>
      </c>
      <c r="K97" s="2" t="str">
        <f t="shared" si="11"/>
        <v>Kazakhstan( 26,119)</v>
      </c>
      <c r="L97" s="2" t="str">
        <f t="shared" si="12"/>
        <v>Thailand(0.876)</v>
      </c>
      <c r="M97" s="2" t="str">
        <f t="shared" si="13"/>
        <v>Armenia(67.100)</v>
      </c>
      <c r="N97" s="2" t="str">
        <f t="shared" si="14"/>
        <v>Bolivia(0.854)</v>
      </c>
      <c r="O97" s="2" t="str">
        <f t="shared" si="15"/>
        <v>Nigeria(0.382)</v>
      </c>
      <c r="P97" s="2" t="str">
        <f t="shared" si="16"/>
        <v>Honduras(0.824)</v>
      </c>
      <c r="Q97" s="2" t="str">
        <f t="shared" si="17"/>
        <v>Uganda(0.711)</v>
      </c>
      <c r="R97" s="2" t="str">
        <f t="shared" si="18"/>
        <v>Venezuela(0.327)</v>
      </c>
    </row>
    <row r="98" spans="1:18" x14ac:dyDescent="0.35">
      <c r="A98" s="4" t="s">
        <v>1232</v>
      </c>
      <c r="B98" s="4" t="s">
        <v>96</v>
      </c>
      <c r="C98" s="4" t="s">
        <v>236</v>
      </c>
      <c r="D98" s="4" t="s">
        <v>381</v>
      </c>
      <c r="E98" s="4" t="s">
        <v>521</v>
      </c>
      <c r="F98" s="4" t="s">
        <v>664</v>
      </c>
      <c r="G98" s="2" t="s">
        <v>807</v>
      </c>
      <c r="H98" s="4" t="s">
        <v>946</v>
      </c>
      <c r="I98" s="4" t="s">
        <v>1089</v>
      </c>
      <c r="J98" s="2" t="str">
        <f t="shared" si="10"/>
        <v>Afghanistan(1.721)</v>
      </c>
      <c r="K98" s="2" t="str">
        <f t="shared" si="11"/>
        <v>Congo (Kinshasa)( 1,158)</v>
      </c>
      <c r="L98" s="2" t="str">
        <f t="shared" si="12"/>
        <v>Afghanistan(0.350)</v>
      </c>
      <c r="M98" s="2" t="str">
        <f t="shared" si="13"/>
        <v>Lesotho(44.200)</v>
      </c>
      <c r="N98" s="2" t="str">
        <f t="shared" si="14"/>
        <v>Afghanistan(0.331)</v>
      </c>
      <c r="O98" s="2" t="str">
        <f t="shared" si="15"/>
        <v>Yemen(0.055)</v>
      </c>
      <c r="P98" s="2" t="str">
        <f t="shared" si="16"/>
        <v>Singapore(0.149)</v>
      </c>
      <c r="Q98" s="2" t="str">
        <f t="shared" si="17"/>
        <v>Afghanistan(0.215)</v>
      </c>
      <c r="R98" s="2" t="str">
        <f t="shared" si="18"/>
        <v>Taiwan Province of China(0.110)</v>
      </c>
    </row>
    <row r="99" spans="1:18" x14ac:dyDescent="0.35">
      <c r="A99" s="4" t="s">
        <v>1233</v>
      </c>
      <c r="B99" s="4" t="s">
        <v>97</v>
      </c>
      <c r="C99" s="4" t="s">
        <v>237</v>
      </c>
      <c r="D99" s="4" t="s">
        <v>382</v>
      </c>
      <c r="E99" s="4" t="s">
        <v>522</v>
      </c>
      <c r="F99" s="4" t="s">
        <v>665</v>
      </c>
      <c r="G99" s="2" t="s">
        <v>808</v>
      </c>
      <c r="H99" s="4" t="s">
        <v>947</v>
      </c>
      <c r="I99" s="4" t="s">
        <v>1090</v>
      </c>
      <c r="J99" s="2" t="str">
        <f t="shared" si="10"/>
        <v>Lebanon(2.707)</v>
      </c>
      <c r="K99" s="2" t="str">
        <f t="shared" si="11"/>
        <v>Mozambique( 1,247)</v>
      </c>
      <c r="L99" s="2" t="str">
        <f t="shared" si="12"/>
        <v>Benin(0.400)</v>
      </c>
      <c r="M99" s="2" t="str">
        <f t="shared" si="13"/>
        <v>Eswatini(50.100)</v>
      </c>
      <c r="N99" s="2" t="str">
        <f t="shared" si="14"/>
        <v>Comoros(0.456)</v>
      </c>
      <c r="O99" s="2" t="str">
        <f t="shared" si="15"/>
        <v>Georgia(0.057)</v>
      </c>
      <c r="P99" s="2" t="str">
        <f t="shared" si="16"/>
        <v>Denmark(0.186)</v>
      </c>
      <c r="Q99" s="2" t="str">
        <f t="shared" si="17"/>
        <v>Lebanon(0.311)</v>
      </c>
      <c r="R99" s="2" t="str">
        <f t="shared" si="18"/>
        <v>Kazakhstan(0.123)</v>
      </c>
    </row>
    <row r="100" spans="1:18" x14ac:dyDescent="0.35">
      <c r="A100" s="4" t="s">
        <v>1234</v>
      </c>
      <c r="B100" s="4" t="s">
        <v>98</v>
      </c>
      <c r="C100" s="4" t="s">
        <v>238</v>
      </c>
      <c r="D100" s="4" t="s">
        <v>383</v>
      </c>
      <c r="E100" s="4" t="s">
        <v>523</v>
      </c>
      <c r="F100" s="4" t="s">
        <v>666</v>
      </c>
      <c r="G100" s="2" t="s">
        <v>809</v>
      </c>
      <c r="H100" s="4" t="s">
        <v>948</v>
      </c>
      <c r="I100" s="4" t="s">
        <v>1091</v>
      </c>
      <c r="J100" s="2" t="str">
        <f t="shared" si="10"/>
        <v>Lesotho(3.186)</v>
      </c>
      <c r="K100" s="2" t="str">
        <f t="shared" si="11"/>
        <v>Niger( 1,295)</v>
      </c>
      <c r="L100" s="2" t="str">
        <f t="shared" si="12"/>
        <v>Bangladesh(0.448)</v>
      </c>
      <c r="M100" s="2" t="str">
        <f t="shared" si="13"/>
        <v>Mozambique(50.400)</v>
      </c>
      <c r="N100" s="2" t="str">
        <f t="shared" si="14"/>
        <v>Lebanon(0.457)</v>
      </c>
      <c r="O100" s="2" t="str">
        <f t="shared" si="15"/>
        <v>Tunisia(0.074)</v>
      </c>
      <c r="P100" s="2" t="str">
        <f t="shared" si="16"/>
        <v>Finland(0.189)</v>
      </c>
      <c r="Q100" s="2" t="str">
        <f t="shared" si="17"/>
        <v>Turkiye(0.318)</v>
      </c>
      <c r="R100" s="2" t="str">
        <f t="shared" si="18"/>
        <v>Kosovo(0.132)</v>
      </c>
    </row>
    <row r="101" spans="1:18" x14ac:dyDescent="0.35">
      <c r="A101" s="4" t="s">
        <v>1235</v>
      </c>
      <c r="B101" s="4" t="s">
        <v>99</v>
      </c>
      <c r="C101" s="4" t="s">
        <v>239</v>
      </c>
      <c r="D101" s="4" t="s">
        <v>384</v>
      </c>
      <c r="E101" s="4" t="s">
        <v>524</v>
      </c>
      <c r="F101" s="4" t="s">
        <v>667</v>
      </c>
      <c r="G101" s="2" t="s">
        <v>810</v>
      </c>
      <c r="H101" s="4" t="s">
        <v>949</v>
      </c>
      <c r="I101" s="4" t="s">
        <v>1092</v>
      </c>
      <c r="J101" s="2" t="str">
        <f t="shared" si="10"/>
        <v>Sierra Leone(3.245)</v>
      </c>
      <c r="K101" s="2" t="str">
        <f t="shared" si="11"/>
        <v>Chad( 1,413)</v>
      </c>
      <c r="L101" s="2" t="str">
        <f t="shared" si="12"/>
        <v>Comoros(0.478)</v>
      </c>
      <c r="M101" s="2" t="str">
        <f t="shared" si="13"/>
        <v>Chad(52.000)</v>
      </c>
      <c r="N101" s="2" t="str">
        <f t="shared" si="14"/>
        <v>Turkiye(0.478)</v>
      </c>
      <c r="O101" s="2" t="str">
        <f t="shared" si="15"/>
        <v>Afghanistan(0.082)</v>
      </c>
      <c r="P101" s="2" t="str">
        <f t="shared" si="16"/>
        <v>Sweden(0.219)</v>
      </c>
      <c r="Q101" s="2" t="str">
        <f t="shared" si="17"/>
        <v>Egypt(0.437)</v>
      </c>
      <c r="R101" s="2" t="str">
        <f t="shared" si="18"/>
        <v>Mauritius(0.155)</v>
      </c>
    </row>
    <row r="102" spans="1:18" x14ac:dyDescent="0.35">
      <c r="A102" s="4" t="s">
        <v>1236</v>
      </c>
      <c r="B102" s="4" t="s">
        <v>100</v>
      </c>
      <c r="C102" s="4" t="s">
        <v>240</v>
      </c>
      <c r="D102" s="4" t="s">
        <v>385</v>
      </c>
      <c r="E102" s="4" t="s">
        <v>525</v>
      </c>
      <c r="F102" s="4" t="s">
        <v>668</v>
      </c>
      <c r="G102" s="2" t="s">
        <v>811</v>
      </c>
      <c r="H102" s="4" t="s">
        <v>950</v>
      </c>
      <c r="I102" s="4" t="s">
        <v>1093</v>
      </c>
      <c r="J102" s="2" t="str">
        <f t="shared" si="10"/>
        <v>Congo (Kinshasa)(3.295)</v>
      </c>
      <c r="K102" s="2" t="str">
        <f t="shared" si="11"/>
        <v>Malawi( 1,469)</v>
      </c>
      <c r="L102" s="2" t="str">
        <f t="shared" si="12"/>
        <v>Malawi(0.510)</v>
      </c>
      <c r="M102" s="2" t="str">
        <f t="shared" si="13"/>
        <v>Sierra Leone(52.900)</v>
      </c>
      <c r="N102" s="2" t="str">
        <f t="shared" si="14"/>
        <v>Algeria(0.511)</v>
      </c>
      <c r="O102" s="2" t="str">
        <f t="shared" si="15"/>
        <v>Botswana(0.083)</v>
      </c>
      <c r="P102" s="2" t="str">
        <f t="shared" si="16"/>
        <v>Switzerland(0.255)</v>
      </c>
      <c r="Q102" s="2" t="str">
        <f t="shared" si="17"/>
        <v>Bangladesh(0.446)</v>
      </c>
      <c r="R102" s="2" t="str">
        <f t="shared" si="18"/>
        <v>Vietnam(0.169)</v>
      </c>
    </row>
    <row r="103" spans="1:18" x14ac:dyDescent="0.35">
      <c r="A103" s="4" t="s">
        <v>1237</v>
      </c>
      <c r="B103" s="4" t="s">
        <v>101</v>
      </c>
      <c r="C103" s="4" t="s">
        <v>241</v>
      </c>
      <c r="D103" s="4" t="s">
        <v>386</v>
      </c>
      <c r="E103" s="4" t="s">
        <v>526</v>
      </c>
      <c r="F103" s="4" t="s">
        <v>669</v>
      </c>
      <c r="G103" s="2" t="s">
        <v>812</v>
      </c>
      <c r="H103" s="4" t="s">
        <v>951</v>
      </c>
      <c r="I103" s="4" t="s">
        <v>1094</v>
      </c>
      <c r="J103" s="2" t="str">
        <f t="shared" si="10"/>
        <v>Zimbabwe(3.341)</v>
      </c>
      <c r="K103" s="2" t="str">
        <f t="shared" si="11"/>
        <v>Liberia( 1,477)</v>
      </c>
      <c r="L103" s="2" t="str">
        <f t="shared" si="12"/>
        <v>Morocco(0.534)</v>
      </c>
      <c r="M103" s="2" t="str">
        <f t="shared" si="13"/>
        <v>Zimbabwe(53.100)</v>
      </c>
      <c r="N103" s="2" t="str">
        <f t="shared" si="14"/>
        <v>Madagascar(0.513)</v>
      </c>
      <c r="O103" s="2" t="str">
        <f t="shared" si="15"/>
        <v>Lesotho(0.083)</v>
      </c>
      <c r="P103" s="2" t="str">
        <f t="shared" si="16"/>
        <v>Norway(0.274)</v>
      </c>
      <c r="Q103" s="2" t="str">
        <f t="shared" si="17"/>
        <v>Nepal(0.450)</v>
      </c>
      <c r="R103" s="2" t="str">
        <f t="shared" si="18"/>
        <v>Iceland(0.175)</v>
      </c>
    </row>
    <row r="104" spans="1:18" x14ac:dyDescent="0.35">
      <c r="A104" s="4" t="s">
        <v>1238</v>
      </c>
      <c r="B104" s="4" t="s">
        <v>102</v>
      </c>
      <c r="C104" s="4" t="s">
        <v>242</v>
      </c>
      <c r="D104" s="4" t="s">
        <v>387</v>
      </c>
      <c r="E104" s="4" t="s">
        <v>527</v>
      </c>
      <c r="F104" s="4" t="s">
        <v>670</v>
      </c>
      <c r="G104" s="2" t="s">
        <v>813</v>
      </c>
      <c r="H104" s="4" t="s">
        <v>952</v>
      </c>
      <c r="I104" s="4" t="s">
        <v>1095</v>
      </c>
      <c r="J104" s="2" t="str">
        <f t="shared" si="10"/>
        <v>Botswana(3.383)</v>
      </c>
      <c r="K104" s="2" t="str">
        <f t="shared" si="11"/>
        <v>Madagascar( 1,516)</v>
      </c>
      <c r="L104" s="2" t="str">
        <f t="shared" si="12"/>
        <v>Sierra Leone(0.571)</v>
      </c>
      <c r="M104" s="2" t="str">
        <f t="shared" si="13"/>
        <v>Guinea(53.300)</v>
      </c>
      <c r="N104" s="2" t="str">
        <f t="shared" si="14"/>
        <v>Tunisia(0.516)</v>
      </c>
      <c r="O104" s="2" t="str">
        <f t="shared" si="15"/>
        <v>Egypt(0.089)</v>
      </c>
      <c r="P104" s="2" t="str">
        <f t="shared" si="16"/>
        <v>New Zealand(0.279)</v>
      </c>
      <c r="Q104" s="2" t="str">
        <f t="shared" si="17"/>
        <v>Yemen(0.453)</v>
      </c>
      <c r="R104" s="2" t="str">
        <f t="shared" si="18"/>
        <v>Lithuania(0.177)</v>
      </c>
    </row>
    <row r="105" spans="1:18" x14ac:dyDescent="0.35">
      <c r="A105" s="4" t="s">
        <v>1239</v>
      </c>
      <c r="B105" s="4" t="s">
        <v>103</v>
      </c>
      <c r="C105" s="4" t="s">
        <v>243</v>
      </c>
      <c r="D105" s="4" t="s">
        <v>388</v>
      </c>
      <c r="E105" s="4" t="s">
        <v>528</v>
      </c>
      <c r="F105" s="4" t="s">
        <v>671</v>
      </c>
      <c r="G105" s="2" t="s">
        <v>814</v>
      </c>
      <c r="H105" s="4" t="s">
        <v>953</v>
      </c>
      <c r="I105" s="4" t="s">
        <v>1096</v>
      </c>
      <c r="J105" s="2" t="str">
        <f t="shared" si="10"/>
        <v>Malawi(3.421)</v>
      </c>
      <c r="K105" s="2" t="str">
        <f t="shared" si="11"/>
        <v>Afghanistan( 1,517)</v>
      </c>
      <c r="L105" s="2" t="str">
        <f t="shared" si="12"/>
        <v>Lebanon(0.575)</v>
      </c>
      <c r="M105" s="2" t="str">
        <f t="shared" si="13"/>
        <v>Afghanistan(53.900)</v>
      </c>
      <c r="N105" s="2" t="str">
        <f t="shared" si="14"/>
        <v>Eswatini(0.538)</v>
      </c>
      <c r="O105" s="2" t="str">
        <f t="shared" si="15"/>
        <v>Morocco(0.094)</v>
      </c>
      <c r="P105" s="2" t="str">
        <f t="shared" si="16"/>
        <v>Luxembourg(0.344)</v>
      </c>
      <c r="Q105" s="2" t="str">
        <f t="shared" si="17"/>
        <v>Tunisia(0.458)</v>
      </c>
      <c r="R105" s="2" t="str">
        <f t="shared" si="18"/>
        <v>Japan(0.177)</v>
      </c>
    </row>
    <row r="106" spans="1:18" x14ac:dyDescent="0.35">
      <c r="A106" s="4" t="s">
        <v>1240</v>
      </c>
      <c r="B106" s="4" t="s">
        <v>104</v>
      </c>
      <c r="C106" s="4" t="s">
        <v>244</v>
      </c>
      <c r="D106" s="4" t="s">
        <v>389</v>
      </c>
      <c r="E106" s="4" t="s">
        <v>529</v>
      </c>
      <c r="F106" s="4" t="s">
        <v>672</v>
      </c>
      <c r="G106" s="2" t="s">
        <v>815</v>
      </c>
      <c r="H106" s="4" t="s">
        <v>954</v>
      </c>
      <c r="I106" s="4" t="s">
        <v>1097</v>
      </c>
      <c r="J106" s="2" t="str">
        <f t="shared" si="10"/>
        <v>Eswatini(3.502)</v>
      </c>
      <c r="K106" s="2" t="str">
        <f t="shared" si="11"/>
        <v>Sierra Leone( 1,635)</v>
      </c>
      <c r="L106" s="2" t="str">
        <f t="shared" si="12"/>
        <v>Ivory Coast(0.576)</v>
      </c>
      <c r="M106" s="2" t="str">
        <f t="shared" si="13"/>
        <v>Botswana(53.900)</v>
      </c>
      <c r="N106" s="2" t="str">
        <f t="shared" si="14"/>
        <v>Greece(0.576)</v>
      </c>
      <c r="O106" s="2" t="str">
        <f t="shared" si="15"/>
        <v>Zimbabwe(0.107)</v>
      </c>
      <c r="P106" s="2" t="str">
        <f t="shared" si="16"/>
        <v>Ireland(0.364)</v>
      </c>
      <c r="Q106" s="2" t="str">
        <f t="shared" si="17"/>
        <v>Montenegro(0.483)</v>
      </c>
      <c r="R106" s="2" t="str">
        <f t="shared" si="18"/>
        <v>Finland(0.180)</v>
      </c>
    </row>
    <row r="107" spans="1:18" x14ac:dyDescent="0.35">
      <c r="A107" s="4" t="s">
        <v>1241</v>
      </c>
      <c r="B107" s="4" t="s">
        <v>105</v>
      </c>
      <c r="C107" s="4" t="s">
        <v>245</v>
      </c>
      <c r="D107" s="4" t="s">
        <v>390</v>
      </c>
      <c r="E107" s="4" t="s">
        <v>530</v>
      </c>
      <c r="F107" s="4" t="s">
        <v>673</v>
      </c>
      <c r="G107" s="2" t="s">
        <v>816</v>
      </c>
      <c r="H107" s="4" t="s">
        <v>955</v>
      </c>
      <c r="I107" s="4" t="s">
        <v>1098</v>
      </c>
      <c r="J107" s="2" t="str">
        <f t="shared" si="10"/>
        <v>Zambia(3.502)</v>
      </c>
      <c r="K107" s="2" t="str">
        <f t="shared" si="11"/>
        <v>Mali( 2,134)</v>
      </c>
      <c r="L107" s="2" t="str">
        <f t="shared" si="12"/>
        <v>Togo(0.579)</v>
      </c>
      <c r="M107" s="2" t="str">
        <f t="shared" si="13"/>
        <v>Congo (Kinshasa)(54.100)</v>
      </c>
      <c r="N107" s="2" t="str">
        <f t="shared" si="14"/>
        <v>Mauritania(0.580)</v>
      </c>
      <c r="O107" s="2" t="str">
        <f t="shared" si="15"/>
        <v>Jordan(0.137)</v>
      </c>
      <c r="P107" s="2" t="str">
        <f t="shared" si="16"/>
        <v>Hong Kong S.A.R. of China(0.386)</v>
      </c>
      <c r="Q107" s="2" t="str">
        <f t="shared" si="17"/>
        <v>Pakistan(0.497)</v>
      </c>
      <c r="R107" s="2" t="str">
        <f t="shared" si="18"/>
        <v>Estonia(0.182)</v>
      </c>
    </row>
    <row r="108" spans="1:18" x14ac:dyDescent="0.35">
      <c r="A108" s="4" t="s">
        <v>1242</v>
      </c>
      <c r="B108" s="4" t="s">
        <v>106</v>
      </c>
      <c r="C108" s="4" t="s">
        <v>246</v>
      </c>
      <c r="D108" s="4" t="s">
        <v>391</v>
      </c>
      <c r="E108" s="4" t="s">
        <v>531</v>
      </c>
      <c r="F108" s="4" t="s">
        <v>674</v>
      </c>
      <c r="G108" s="2" t="s">
        <v>817</v>
      </c>
      <c r="H108" s="4" t="s">
        <v>956</v>
      </c>
      <c r="I108" s="4" t="s">
        <v>1099</v>
      </c>
      <c r="J108" s="2" t="str">
        <f t="shared" si="10"/>
        <v>Yemen(3.561)</v>
      </c>
      <c r="K108" s="2" t="str">
        <f t="shared" si="11"/>
        <v>Zimbabwe( 2,140)</v>
      </c>
      <c r="L108" s="2" t="str">
        <f t="shared" si="12"/>
        <v>Pakistan(0.585)</v>
      </c>
      <c r="M108" s="2" t="str">
        <f t="shared" si="13"/>
        <v>Nigeria(54.400)</v>
      </c>
      <c r="N108" s="2" t="str">
        <f t="shared" si="14"/>
        <v>Yemen(0.594)</v>
      </c>
      <c r="O108" s="2" t="str">
        <f t="shared" si="15"/>
        <v>Eswatini(0.137)</v>
      </c>
      <c r="P108" s="2" t="str">
        <f t="shared" si="16"/>
        <v>Estonia(0.386)</v>
      </c>
      <c r="Q108" s="2" t="str">
        <f t="shared" si="17"/>
        <v>Jordan(0.507)</v>
      </c>
      <c r="R108" s="2" t="str">
        <f t="shared" si="18"/>
        <v>Switzerland(0.182)</v>
      </c>
    </row>
    <row r="109" spans="1:18" x14ac:dyDescent="0.35">
      <c r="A109" s="4" t="s">
        <v>1243</v>
      </c>
      <c r="B109" s="4" t="s">
        <v>107</v>
      </c>
      <c r="C109" s="4" t="s">
        <v>247</v>
      </c>
      <c r="D109" s="4" t="s">
        <v>392</v>
      </c>
      <c r="E109" s="4" t="s">
        <v>532</v>
      </c>
      <c r="F109" s="4" t="s">
        <v>675</v>
      </c>
      <c r="G109" s="2" t="s">
        <v>818</v>
      </c>
      <c r="H109" s="4" t="s">
        <v>957</v>
      </c>
      <c r="I109" s="4" t="s">
        <v>1100</v>
      </c>
      <c r="J109" s="2" t="str">
        <f t="shared" si="10"/>
        <v>Comoros(3.566)</v>
      </c>
      <c r="K109" s="2" t="str">
        <f t="shared" si="11"/>
        <v>Gambia( 2,152)</v>
      </c>
      <c r="L109" s="2" t="str">
        <f t="shared" si="12"/>
        <v>Guinea(0.593)</v>
      </c>
      <c r="M109" s="2" t="str">
        <f t="shared" si="13"/>
        <v>Zambia(54.400)</v>
      </c>
      <c r="N109" s="2" t="str">
        <f t="shared" si="14"/>
        <v>Iran(0.597)</v>
      </c>
      <c r="O109" s="2" t="str">
        <f t="shared" si="15"/>
        <v>Gabon(0.137)</v>
      </c>
      <c r="P109" s="2" t="str">
        <f t="shared" si="16"/>
        <v>Netherlands(0.426)</v>
      </c>
      <c r="Q109" s="2" t="str">
        <f t="shared" si="17"/>
        <v>Sierra Leone(0.512)</v>
      </c>
      <c r="R109" s="2" t="str">
        <f t="shared" si="18"/>
        <v>Kuwait(0.182)</v>
      </c>
    </row>
    <row r="110" spans="1:18" x14ac:dyDescent="0.35">
      <c r="A110" s="4" t="s">
        <v>1244</v>
      </c>
      <c r="B110" s="4" t="s">
        <v>108</v>
      </c>
      <c r="C110" s="4" t="s">
        <v>248</v>
      </c>
      <c r="D110" s="4" t="s">
        <v>393</v>
      </c>
      <c r="E110" s="4" t="s">
        <v>533</v>
      </c>
      <c r="F110" s="4" t="s">
        <v>676</v>
      </c>
      <c r="G110" s="2" t="s">
        <v>819</v>
      </c>
      <c r="H110" s="4" t="s">
        <v>958</v>
      </c>
      <c r="I110" s="4" t="s">
        <v>1101</v>
      </c>
      <c r="J110" s="2" t="str">
        <f t="shared" si="10"/>
        <v>Tanzania(3.781)</v>
      </c>
      <c r="K110" s="2" t="str">
        <f t="shared" si="11"/>
        <v>Burkina Faso( 2,186)</v>
      </c>
      <c r="L110" s="2" t="str">
        <f t="shared" si="12"/>
        <v>Congo (Brazzaville)(0.593)</v>
      </c>
      <c r="M110" s="2" t="str">
        <f t="shared" si="13"/>
        <v>Cameroon(54.500)</v>
      </c>
      <c r="N110" s="2" t="str">
        <f t="shared" si="14"/>
        <v>Chad(0.630)</v>
      </c>
      <c r="O110" s="2" t="str">
        <f t="shared" si="15"/>
        <v>Greece(0.139)</v>
      </c>
      <c r="P110" s="2" t="str">
        <f t="shared" si="16"/>
        <v>Canada(0.432)</v>
      </c>
      <c r="Q110" s="2" t="str">
        <f t="shared" si="17"/>
        <v>Georgia(0.520)</v>
      </c>
      <c r="R110" s="2" t="str">
        <f t="shared" si="18"/>
        <v>Sweden(0.183)</v>
      </c>
    </row>
    <row r="111" spans="1:18" x14ac:dyDescent="0.35">
      <c r="A111" s="4" t="s">
        <v>1245</v>
      </c>
      <c r="B111" s="4" t="s">
        <v>109</v>
      </c>
      <c r="C111" s="4" t="s">
        <v>249</v>
      </c>
      <c r="D111" s="4" t="s">
        <v>394</v>
      </c>
      <c r="E111" s="4" t="s">
        <v>534</v>
      </c>
      <c r="F111" s="4" t="s">
        <v>677</v>
      </c>
      <c r="G111" s="2" t="s">
        <v>820</v>
      </c>
      <c r="H111" s="4" t="s">
        <v>959</v>
      </c>
      <c r="I111" s="4" t="s">
        <v>1102</v>
      </c>
      <c r="J111" s="2" t="str">
        <f t="shared" si="10"/>
        <v>Ethiopia(3.861)</v>
      </c>
      <c r="K111" s="2" t="str">
        <f t="shared" si="11"/>
        <v>Togo( 2,203)</v>
      </c>
      <c r="L111" s="2" t="str">
        <f t="shared" si="12"/>
        <v>India(0.605)</v>
      </c>
      <c r="M111" s="2" t="str">
        <f t="shared" si="13"/>
        <v>Mali(54.600)</v>
      </c>
      <c r="N111" s="2" t="str">
        <f t="shared" si="14"/>
        <v>Iraq(0.639)</v>
      </c>
      <c r="O111" s="2" t="str">
        <f t="shared" si="15"/>
        <v>State of Palestine(0.140)</v>
      </c>
      <c r="P111" s="2" t="str">
        <f t="shared" si="16"/>
        <v>Germany(0.432)</v>
      </c>
      <c r="Q111" s="2" t="str">
        <f t="shared" si="17"/>
        <v>Azerbaijan(0.522)</v>
      </c>
      <c r="R111" s="2" t="str">
        <f t="shared" si="18"/>
        <v>Singapore(0.187)</v>
      </c>
    </row>
    <row r="112" spans="1:18" x14ac:dyDescent="0.35">
      <c r="A112" s="4" t="s">
        <v>1246</v>
      </c>
      <c r="B112" s="4" t="s">
        <v>110</v>
      </c>
      <c r="C112" s="4" t="s">
        <v>250</v>
      </c>
      <c r="D112" s="4" t="s">
        <v>395</v>
      </c>
      <c r="E112" s="4" t="s">
        <v>535</v>
      </c>
      <c r="F112" s="4" t="s">
        <v>678</v>
      </c>
      <c r="G112" s="2" t="s">
        <v>821</v>
      </c>
      <c r="H112" s="4" t="s">
        <v>960</v>
      </c>
      <c r="I112" s="4" t="s">
        <v>1103</v>
      </c>
      <c r="J112" s="2" t="str">
        <f t="shared" si="10"/>
        <v>Bangladesh(3.886)</v>
      </c>
      <c r="K112" s="2" t="str">
        <f t="shared" si="11"/>
        <v>Lesotho( 2,282)</v>
      </c>
      <c r="L112" s="2" t="str">
        <f t="shared" si="12"/>
        <v>Congo (Kinshasa)(0.610)</v>
      </c>
      <c r="M112" s="2" t="str">
        <f t="shared" si="13"/>
        <v>Ivory Coast(54.800)</v>
      </c>
      <c r="N112" s="2" t="str">
        <f t="shared" si="14"/>
        <v>Ethiopia(0.651)</v>
      </c>
      <c r="O112" s="2" t="str">
        <f t="shared" si="15"/>
        <v>Mali(0.157)</v>
      </c>
      <c r="P112" s="2" t="str">
        <f t="shared" si="16"/>
        <v>United Kingdom(0.455)</v>
      </c>
      <c r="Q112" s="2" t="str">
        <f t="shared" si="17"/>
        <v>Iran(0.523)</v>
      </c>
      <c r="R112" s="2" t="str">
        <f t="shared" si="18"/>
        <v>Malaysia(0.189)</v>
      </c>
    </row>
    <row r="113" spans="1:18" x14ac:dyDescent="0.35">
      <c r="A113" s="4" t="s">
        <v>1247</v>
      </c>
      <c r="B113" s="4" t="s">
        <v>111</v>
      </c>
      <c r="C113" s="4" t="s">
        <v>251</v>
      </c>
      <c r="D113" s="4" t="s">
        <v>396</v>
      </c>
      <c r="E113" s="4" t="s">
        <v>536</v>
      </c>
      <c r="F113" s="4" t="s">
        <v>679</v>
      </c>
      <c r="G113" s="2" t="s">
        <v>822</v>
      </c>
      <c r="H113" s="4" t="s">
        <v>961</v>
      </c>
      <c r="I113" s="4" t="s">
        <v>1104</v>
      </c>
      <c r="J113" s="2" t="str">
        <f t="shared" si="10"/>
        <v>Sri Lanka(3.898)</v>
      </c>
      <c r="K113" s="2" t="str">
        <f t="shared" si="11"/>
        <v>Uganda( 2,290)</v>
      </c>
      <c r="L113" s="2" t="str">
        <f t="shared" si="12"/>
        <v>Liberia(0.613)</v>
      </c>
      <c r="M113" s="2" t="str">
        <f t="shared" si="13"/>
        <v>Liberia(54.900)</v>
      </c>
      <c r="N113" s="2" t="str">
        <f t="shared" si="14"/>
        <v>Myanmar(0.658)</v>
      </c>
      <c r="O113" s="2" t="str">
        <f t="shared" si="15"/>
        <v>Namibia(0.158)</v>
      </c>
      <c r="P113" s="2" t="str">
        <f t="shared" si="16"/>
        <v>Tajikistan(0.462)</v>
      </c>
      <c r="Q113" s="2" t="str">
        <f t="shared" si="17"/>
        <v>Ukraine(0.531)</v>
      </c>
      <c r="R113" s="2" t="str">
        <f t="shared" si="18"/>
        <v>Poland(0.193)</v>
      </c>
    </row>
    <row r="114" spans="1:18" x14ac:dyDescent="0.35">
      <c r="A114" s="4" t="s">
        <v>1248</v>
      </c>
      <c r="B114" s="4" t="s">
        <v>112</v>
      </c>
      <c r="C114" s="4" t="s">
        <v>252</v>
      </c>
      <c r="D114" s="4" t="s">
        <v>397</v>
      </c>
      <c r="E114" s="4" t="s">
        <v>537</v>
      </c>
      <c r="F114" s="4" t="s">
        <v>680</v>
      </c>
      <c r="G114" s="2" t="s">
        <v>823</v>
      </c>
      <c r="H114" s="4" t="s">
        <v>962</v>
      </c>
      <c r="I114" s="4" t="s">
        <v>1105</v>
      </c>
      <c r="J114" s="2" t="str">
        <f t="shared" si="10"/>
        <v>Egypt(3.977)</v>
      </c>
      <c r="K114" s="2" t="str">
        <f t="shared" si="11"/>
        <v>Ethiopia( 2,422)</v>
      </c>
      <c r="L114" s="2" t="str">
        <f t="shared" si="12"/>
        <v>Niger(0.615)</v>
      </c>
      <c r="M114" s="2" t="str">
        <f t="shared" si="13"/>
        <v>Burkina Faso(54.900)</v>
      </c>
      <c r="N114" s="2" t="str">
        <f t="shared" si="14"/>
        <v>Togo(0.660)</v>
      </c>
      <c r="O114" s="2" t="str">
        <f t="shared" si="15"/>
        <v>Armenia(0.159)</v>
      </c>
      <c r="P114" s="2" t="str">
        <f t="shared" si="16"/>
        <v>Australia(0.493)</v>
      </c>
      <c r="Q114" s="2" t="str">
        <f t="shared" si="17"/>
        <v>Malawi(0.535)</v>
      </c>
      <c r="R114" s="2" t="str">
        <f t="shared" si="18"/>
        <v>Russia(0.197)</v>
      </c>
    </row>
    <row r="115" spans="1:18" x14ac:dyDescent="0.35">
      <c r="A115" s="4" t="s">
        <v>1249</v>
      </c>
      <c r="B115" s="4" t="s">
        <v>113</v>
      </c>
      <c r="C115" s="4" t="s">
        <v>253</v>
      </c>
      <c r="D115" s="4" t="s">
        <v>398</v>
      </c>
      <c r="E115" s="4" t="s">
        <v>538</v>
      </c>
      <c r="F115" s="4" t="s">
        <v>681</v>
      </c>
      <c r="G115" s="2" t="s">
        <v>824</v>
      </c>
      <c r="H115" s="4" t="s">
        <v>963</v>
      </c>
      <c r="I115" s="4" t="s">
        <v>1106</v>
      </c>
      <c r="J115" s="2" t="str">
        <f t="shared" si="10"/>
        <v>India(4.054)</v>
      </c>
      <c r="K115" s="2" t="str">
        <f t="shared" si="11"/>
        <v>Tanzania( 2,628)</v>
      </c>
      <c r="L115" s="2" t="str">
        <f t="shared" si="12"/>
        <v>Gambia(0.617)</v>
      </c>
      <c r="M115" s="2" t="str">
        <f t="shared" si="13"/>
        <v>Benin(55.500)</v>
      </c>
      <c r="N115" s="2" t="str">
        <f t="shared" si="14"/>
        <v>Gambia(0.664)</v>
      </c>
      <c r="O115" s="2" t="str">
        <f t="shared" si="15"/>
        <v>Malawi(0.161)</v>
      </c>
      <c r="P115" s="2" t="str">
        <f t="shared" si="16"/>
        <v>Belgium(0.510)</v>
      </c>
      <c r="Q115" s="2" t="str">
        <f t="shared" si="17"/>
        <v>Serbia(0.536)</v>
      </c>
      <c r="R115" s="2" t="str">
        <f t="shared" si="18"/>
        <v>Kyrgyzstan(0.198)</v>
      </c>
    </row>
    <row r="116" spans="1:18" x14ac:dyDescent="0.35">
      <c r="A116" s="4" t="s">
        <v>1250</v>
      </c>
      <c r="B116" s="4" t="s">
        <v>114</v>
      </c>
      <c r="C116" s="4" t="s">
        <v>254</v>
      </c>
      <c r="D116" s="4" t="s">
        <v>399</v>
      </c>
      <c r="E116" s="4" t="s">
        <v>539</v>
      </c>
      <c r="F116" s="4" t="s">
        <v>682</v>
      </c>
      <c r="G116" s="2" t="s">
        <v>825</v>
      </c>
      <c r="H116" s="4" t="s">
        <v>964</v>
      </c>
      <c r="I116" s="4" t="s">
        <v>1107</v>
      </c>
      <c r="J116" s="2" t="str">
        <f t="shared" si="10"/>
        <v>Jordan(4.186)</v>
      </c>
      <c r="K116" s="2" t="str">
        <f t="shared" si="11"/>
        <v>Guinea( 2,708)</v>
      </c>
      <c r="L116" s="2" t="str">
        <f t="shared" si="12"/>
        <v>Burkina Faso(0.618)</v>
      </c>
      <c r="M116" s="2" t="str">
        <f t="shared" si="13"/>
        <v>Niger(55.500)</v>
      </c>
      <c r="N116" s="2" t="str">
        <f t="shared" si="14"/>
        <v>Sierra Leone(0.672)</v>
      </c>
      <c r="O116" s="2" t="str">
        <f t="shared" si="15"/>
        <v>Japan(0.169)</v>
      </c>
      <c r="P116" s="2" t="str">
        <f t="shared" si="16"/>
        <v>Austria(0.518)</v>
      </c>
      <c r="Q116" s="2" t="str">
        <f t="shared" si="17"/>
        <v>Algeria(0.537)</v>
      </c>
      <c r="R116" s="2" t="str">
        <f t="shared" si="18"/>
        <v>Latvia(0.200)</v>
      </c>
    </row>
    <row r="117" spans="1:18" x14ac:dyDescent="0.35">
      <c r="A117" s="4" t="s">
        <v>1251</v>
      </c>
      <c r="B117" s="4" t="s">
        <v>115</v>
      </c>
      <c r="C117" s="4" t="s">
        <v>255</v>
      </c>
      <c r="D117" s="4" t="s">
        <v>400</v>
      </c>
      <c r="E117" s="4" t="s">
        <v>540</v>
      </c>
      <c r="F117" s="4" t="s">
        <v>683</v>
      </c>
      <c r="G117" s="2" t="s">
        <v>826</v>
      </c>
      <c r="H117" s="4" t="s">
        <v>965</v>
      </c>
      <c r="I117" s="4" t="s">
        <v>1108</v>
      </c>
      <c r="J117" s="2" t="str">
        <f t="shared" si="10"/>
        <v>Togo(4.214)</v>
      </c>
      <c r="K117" s="2" t="str">
        <f t="shared" si="11"/>
        <v>Congo (Brazzaville)( 3,231)</v>
      </c>
      <c r="L117" s="2" t="str">
        <f t="shared" si="12"/>
        <v>Mali(0.619)</v>
      </c>
      <c r="M117" s="2" t="str">
        <f t="shared" si="13"/>
        <v>Namibia(56.100)</v>
      </c>
      <c r="N117" s="2" t="str">
        <f t="shared" si="14"/>
        <v>Croatia(0.672)</v>
      </c>
      <c r="O117" s="2" t="str">
        <f t="shared" si="15"/>
        <v>Niger(0.173)</v>
      </c>
      <c r="P117" s="2" t="str">
        <f t="shared" si="16"/>
        <v>France(0.551)</v>
      </c>
      <c r="Q117" s="2" t="str">
        <f t="shared" si="17"/>
        <v>Hong Kong S.A.R. of China(0.541)</v>
      </c>
      <c r="R117" s="2" t="str">
        <f t="shared" si="18"/>
        <v>Netherlands(0.201)</v>
      </c>
    </row>
    <row r="118" spans="1:18" x14ac:dyDescent="0.35">
      <c r="A118" s="4" t="s">
        <v>1252</v>
      </c>
      <c r="B118" s="4" t="s">
        <v>116</v>
      </c>
      <c r="C118" s="4" t="s">
        <v>256</v>
      </c>
      <c r="D118" s="4" t="s">
        <v>401</v>
      </c>
      <c r="E118" s="4" t="s">
        <v>541</v>
      </c>
      <c r="F118" s="4" t="s">
        <v>684</v>
      </c>
      <c r="G118" s="2" t="s">
        <v>827</v>
      </c>
      <c r="H118" s="4" t="s">
        <v>966</v>
      </c>
      <c r="I118" s="4" t="s">
        <v>1109</v>
      </c>
      <c r="J118" s="2" t="str">
        <f t="shared" si="10"/>
        <v>Madagascar(4.228)</v>
      </c>
      <c r="K118" s="2" t="str">
        <f t="shared" si="11"/>
        <v>Comoros( 3,261)</v>
      </c>
      <c r="L118" s="2" t="str">
        <f t="shared" si="12"/>
        <v>Mauritania(0.625)</v>
      </c>
      <c r="M118" s="2" t="str">
        <f t="shared" si="13"/>
        <v>South Africa(56.200)</v>
      </c>
      <c r="N118" s="2" t="str">
        <f t="shared" si="14"/>
        <v>Namibia(0.672)</v>
      </c>
      <c r="O118" s="2" t="str">
        <f t="shared" si="15"/>
        <v>Togo(0.174)</v>
      </c>
      <c r="P118" s="2" t="str">
        <f t="shared" si="16"/>
        <v>Egypt(0.580)</v>
      </c>
      <c r="Q118" s="2" t="str">
        <f t="shared" si="17"/>
        <v>Israel(0.542)</v>
      </c>
      <c r="R118" s="2" t="str">
        <f t="shared" si="18"/>
        <v>Mongolia(0.203)</v>
      </c>
    </row>
    <row r="119" spans="1:18" x14ac:dyDescent="0.35">
      <c r="A119" s="4" t="s">
        <v>1253</v>
      </c>
      <c r="B119" s="4" t="s">
        <v>117</v>
      </c>
      <c r="C119" s="4" t="s">
        <v>257</v>
      </c>
      <c r="D119" s="4" t="s">
        <v>402</v>
      </c>
      <c r="E119" s="4" t="s">
        <v>542</v>
      </c>
      <c r="F119" s="4" t="s">
        <v>685</v>
      </c>
      <c r="G119" s="2" t="s">
        <v>828</v>
      </c>
      <c r="H119" s="4" t="s">
        <v>967</v>
      </c>
      <c r="I119" s="4" t="s">
        <v>1110</v>
      </c>
      <c r="J119" s="2" t="str">
        <f t="shared" si="10"/>
        <v>Mali(4.232)</v>
      </c>
      <c r="K119" s="2" t="str">
        <f t="shared" si="11"/>
        <v>Zambia( 3,293)</v>
      </c>
      <c r="L119" s="2" t="str">
        <f t="shared" si="12"/>
        <v>Tanzania(0.626)</v>
      </c>
      <c r="M119" s="2" t="str">
        <f t="shared" si="13"/>
        <v>Togo(56.200)</v>
      </c>
      <c r="N119" s="2" t="str">
        <f t="shared" si="14"/>
        <v>Congo (Kinshasa)(0.674)</v>
      </c>
      <c r="O119" s="2" t="str">
        <f t="shared" si="15"/>
        <v>Benin(0.175)</v>
      </c>
      <c r="P119" s="2" t="str">
        <f t="shared" si="16"/>
        <v>Tanzania(0.583)</v>
      </c>
      <c r="Q119" s="2" t="str">
        <f t="shared" si="17"/>
        <v>North Macedonia(0.546)</v>
      </c>
      <c r="R119" s="2" t="str">
        <f t="shared" si="18"/>
        <v>Bulgaria(0.204)</v>
      </c>
    </row>
    <row r="120" spans="1:18" x14ac:dyDescent="0.35">
      <c r="A120" s="4" t="s">
        <v>1254</v>
      </c>
      <c r="B120" s="4" t="s">
        <v>118</v>
      </c>
      <c r="C120" s="4" t="s">
        <v>258</v>
      </c>
      <c r="D120" s="4" t="s">
        <v>403</v>
      </c>
      <c r="E120" s="4" t="s">
        <v>543</v>
      </c>
      <c r="F120" s="4" t="s">
        <v>686</v>
      </c>
      <c r="G120" s="2" t="s">
        <v>829</v>
      </c>
      <c r="H120" s="4" t="s">
        <v>968</v>
      </c>
      <c r="I120" s="4" t="s">
        <v>1111</v>
      </c>
      <c r="J120" s="2" t="str">
        <f t="shared" si="10"/>
        <v>Liberia(4.269)</v>
      </c>
      <c r="K120" s="2" t="str">
        <f t="shared" si="11"/>
        <v>Benin( 3,434)</v>
      </c>
      <c r="L120" s="2" t="str">
        <f t="shared" si="12"/>
        <v>Ghana(0.642)</v>
      </c>
      <c r="M120" s="2" t="str">
        <f t="shared" si="13"/>
        <v>Congo (Brazzaville)(56.200)</v>
      </c>
      <c r="N120" s="2" t="str">
        <f t="shared" si="14"/>
        <v>Burkina Faso(0.682)</v>
      </c>
      <c r="O120" s="2" t="str">
        <f t="shared" si="15"/>
        <v>Lebanon(0.177)</v>
      </c>
      <c r="P120" s="2" t="str">
        <f t="shared" si="16"/>
        <v>El Salvador(0.589)</v>
      </c>
      <c r="Q120" s="2" t="str">
        <f t="shared" si="17"/>
        <v>Lithuania(0.549)</v>
      </c>
      <c r="R120" s="2" t="str">
        <f t="shared" si="18"/>
        <v>Zimbabwe(0.204)</v>
      </c>
    </row>
    <row r="121" spans="1:18" x14ac:dyDescent="0.35">
      <c r="A121" s="4" t="s">
        <v>1255</v>
      </c>
      <c r="B121" s="4" t="s">
        <v>119</v>
      </c>
      <c r="C121" s="4" t="s">
        <v>259</v>
      </c>
      <c r="D121" s="4" t="s">
        <v>404</v>
      </c>
      <c r="E121" s="4" t="s">
        <v>544</v>
      </c>
      <c r="F121" s="4" t="s">
        <v>687</v>
      </c>
      <c r="G121" s="2" t="s">
        <v>830</v>
      </c>
      <c r="H121" s="4" t="s">
        <v>969</v>
      </c>
      <c r="I121" s="4" t="s">
        <v>1112</v>
      </c>
      <c r="J121" s="2" t="str">
        <f t="shared" si="10"/>
        <v>Ghana(4.289)</v>
      </c>
      <c r="K121" s="2" t="str">
        <f t="shared" si="11"/>
        <v>Senegal( 3,572)</v>
      </c>
      <c r="L121" s="2" t="str">
        <f t="shared" si="12"/>
        <v>Senegal(0.643)</v>
      </c>
      <c r="M121" s="2" t="str">
        <f t="shared" si="13"/>
        <v>Pakistan(56.900)</v>
      </c>
      <c r="N121" s="2" t="str">
        <f t="shared" si="14"/>
        <v>Hong Kong S.A.R. of China(0.683)</v>
      </c>
      <c r="O121" s="2" t="str">
        <f t="shared" si="15"/>
        <v>El Salvador(0.182)</v>
      </c>
      <c r="P121" s="2" t="str">
        <f t="shared" si="16"/>
        <v>Benin(0.590)</v>
      </c>
      <c r="Q121" s="2" t="str">
        <f t="shared" si="17"/>
        <v>Ethiopia(0.551)</v>
      </c>
      <c r="R121" s="2" t="str">
        <f t="shared" si="18"/>
        <v>Luxembourg(0.206)</v>
      </c>
    </row>
    <row r="122" spans="1:18" x14ac:dyDescent="0.35">
      <c r="A122" s="4" t="s">
        <v>1256</v>
      </c>
      <c r="B122" s="4" t="s">
        <v>120</v>
      </c>
      <c r="C122" s="4" t="s">
        <v>260</v>
      </c>
      <c r="D122" s="4" t="s">
        <v>405</v>
      </c>
      <c r="E122" s="4" t="s">
        <v>545</v>
      </c>
      <c r="F122" s="4" t="s">
        <v>688</v>
      </c>
      <c r="G122" s="2" t="s">
        <v>831</v>
      </c>
      <c r="H122" s="4" t="s">
        <v>970</v>
      </c>
      <c r="I122" s="4" t="s">
        <v>1113</v>
      </c>
      <c r="J122" s="2" t="str">
        <f t="shared" si="10"/>
        <v>Cambodia(4.341)</v>
      </c>
      <c r="K122" s="2" t="str">
        <f t="shared" si="11"/>
        <v>Cameroon( 3,738)</v>
      </c>
      <c r="L122" s="2" t="str">
        <f t="shared" si="12"/>
        <v>Chad(0.665)</v>
      </c>
      <c r="M122" s="2" t="str">
        <f t="shared" si="13"/>
        <v>Gambia(57.000)</v>
      </c>
      <c r="N122" s="2" t="str">
        <f t="shared" si="14"/>
        <v>Zimbabwe(0.685)</v>
      </c>
      <c r="O122" s="2" t="str">
        <f t="shared" si="15"/>
        <v>Tajikistan(0.184)</v>
      </c>
      <c r="P122" s="2" t="str">
        <f t="shared" si="16"/>
        <v>Nicaragua(0.591)</v>
      </c>
      <c r="Q122" s="2" t="str">
        <f t="shared" si="17"/>
        <v>Mongolia(0.553)</v>
      </c>
      <c r="R122" s="2" t="str">
        <f t="shared" si="18"/>
        <v>Hungary(0.210)</v>
      </c>
    </row>
    <row r="123" spans="1:18" x14ac:dyDescent="0.35">
      <c r="A123" s="4" t="s">
        <v>1257</v>
      </c>
      <c r="B123" s="4" t="s">
        <v>121</v>
      </c>
      <c r="C123" s="4" t="s">
        <v>261</v>
      </c>
      <c r="D123" s="4" t="s">
        <v>406</v>
      </c>
      <c r="E123" s="4" t="s">
        <v>546</v>
      </c>
      <c r="F123" s="4" t="s">
        <v>689</v>
      </c>
      <c r="G123" s="2" t="s">
        <v>832</v>
      </c>
      <c r="H123" s="4" t="s">
        <v>971</v>
      </c>
      <c r="I123" s="4" t="s">
        <v>1114</v>
      </c>
      <c r="J123" s="2" t="str">
        <f t="shared" si="10"/>
        <v>Myanmar(4.354)</v>
      </c>
      <c r="K123" s="2" t="str">
        <f t="shared" si="11"/>
        <v>Nepal( 3,983)</v>
      </c>
      <c r="L123" s="2" t="str">
        <f t="shared" si="12"/>
        <v>Zambia(0.666)</v>
      </c>
      <c r="M123" s="2" t="str">
        <f t="shared" si="13"/>
        <v>Malawi(57.100)</v>
      </c>
      <c r="N123" s="2" t="str">
        <f t="shared" si="14"/>
        <v>Egypt(0.687)</v>
      </c>
      <c r="O123" s="2" t="str">
        <f t="shared" si="15"/>
        <v>Venezuela(0.187)</v>
      </c>
      <c r="P123" s="2" t="str">
        <f t="shared" si="16"/>
        <v>Uruguay(0.633)</v>
      </c>
      <c r="Q123" s="2" t="str">
        <f t="shared" si="17"/>
        <v>Congo (Kinshasa)(0.554)</v>
      </c>
      <c r="R123" s="2" t="str">
        <f t="shared" si="18"/>
        <v>Hong Kong S.A.R. of China(0.213)</v>
      </c>
    </row>
    <row r="124" spans="1:18" x14ac:dyDescent="0.35">
      <c r="A124" s="4" t="s">
        <v>1258</v>
      </c>
      <c r="B124" s="4" t="s">
        <v>122</v>
      </c>
      <c r="C124" s="4" t="s">
        <v>262</v>
      </c>
      <c r="D124" s="4" t="s">
        <v>407</v>
      </c>
      <c r="E124" s="4" t="s">
        <v>547</v>
      </c>
      <c r="F124" s="4" t="s">
        <v>690</v>
      </c>
      <c r="G124" s="2" t="s">
        <v>833</v>
      </c>
      <c r="H124" s="4" t="s">
        <v>972</v>
      </c>
      <c r="I124" s="4" t="s">
        <v>1115</v>
      </c>
      <c r="J124" s="2" t="str">
        <f t="shared" si="10"/>
        <v>Uganda(4.372)</v>
      </c>
      <c r="K124" s="2" t="str">
        <f t="shared" si="11"/>
        <v>Tajikistan( 4,119)</v>
      </c>
      <c r="L124" s="2" t="str">
        <f t="shared" si="12"/>
        <v>Madagascar(0.672)</v>
      </c>
      <c r="M124" s="2" t="str">
        <f t="shared" si="13"/>
        <v>Madagascar(57.300)</v>
      </c>
      <c r="N124" s="2" t="str">
        <f t="shared" si="14"/>
        <v>Mongolia(0.695)</v>
      </c>
      <c r="O124" s="2" t="str">
        <f t="shared" si="15"/>
        <v>Romania(0.191)</v>
      </c>
      <c r="P124" s="2" t="str">
        <f t="shared" si="16"/>
        <v>Japan(0.635)</v>
      </c>
      <c r="Q124" s="2" t="str">
        <f t="shared" si="17"/>
        <v>Armenia(0.559)</v>
      </c>
      <c r="R124" s="2" t="str">
        <f t="shared" si="18"/>
        <v>Denmark(0.214)</v>
      </c>
    </row>
    <row r="125" spans="1:18" x14ac:dyDescent="0.35">
      <c r="A125" s="4" t="s">
        <v>1259</v>
      </c>
      <c r="B125" s="4" t="s">
        <v>123</v>
      </c>
      <c r="C125" s="4" t="s">
        <v>263</v>
      </c>
      <c r="D125" s="4" t="s">
        <v>408</v>
      </c>
      <c r="E125" s="4" t="s">
        <v>548</v>
      </c>
      <c r="F125" s="4" t="s">
        <v>691</v>
      </c>
      <c r="G125" s="2" t="s">
        <v>834</v>
      </c>
      <c r="H125" s="4" t="s">
        <v>973</v>
      </c>
      <c r="I125" s="4" t="s">
        <v>1116</v>
      </c>
      <c r="J125" s="2" t="str">
        <f t="shared" si="10"/>
        <v>Benin(4.377)</v>
      </c>
      <c r="K125" s="2" t="str">
        <f t="shared" si="11"/>
        <v>Myanmar( 4,125)</v>
      </c>
      <c r="L125" s="2" t="str">
        <f t="shared" si="12"/>
        <v>Laos(0.681)</v>
      </c>
      <c r="M125" s="2" t="str">
        <f t="shared" si="13"/>
        <v>Yemen(57.500)</v>
      </c>
      <c r="N125" s="2" t="str">
        <f t="shared" si="14"/>
        <v>State of Palestine(0.702)</v>
      </c>
      <c r="O125" s="2" t="str">
        <f t="shared" si="15"/>
        <v>Congo (Brazzaville)(0.193)</v>
      </c>
      <c r="P125" s="2" t="str">
        <f t="shared" si="16"/>
        <v>Uzbekistan(0.641)</v>
      </c>
      <c r="Q125" s="2" t="str">
        <f t="shared" si="17"/>
        <v>Morocco(0.562)</v>
      </c>
      <c r="R125" s="2" t="str">
        <f t="shared" si="18"/>
        <v>New Zealand(0.215)</v>
      </c>
    </row>
    <row r="126" spans="1:18" x14ac:dyDescent="0.35">
      <c r="A126" s="4" t="s">
        <v>1260</v>
      </c>
      <c r="B126" s="4" t="s">
        <v>124</v>
      </c>
      <c r="C126" s="4" t="s">
        <v>264</v>
      </c>
      <c r="D126" s="4" t="s">
        <v>409</v>
      </c>
      <c r="E126" s="4" t="s">
        <v>549</v>
      </c>
      <c r="F126" s="4" t="s">
        <v>692</v>
      </c>
      <c r="G126" s="2" t="s">
        <v>835</v>
      </c>
      <c r="H126" s="4" t="s">
        <v>974</v>
      </c>
      <c r="I126" s="4" t="s">
        <v>1117</v>
      </c>
      <c r="J126" s="2" t="str">
        <f t="shared" si="10"/>
        <v>Tunisia(4.422)</v>
      </c>
      <c r="K126" s="2" t="str">
        <f t="shared" si="11"/>
        <v>Cambodia( 4,538)</v>
      </c>
      <c r="L126" s="2" t="str">
        <f t="shared" si="12"/>
        <v>Zimbabwe(0.682)</v>
      </c>
      <c r="M126" s="2" t="str">
        <f t="shared" si="13"/>
        <v>Gabon(57.600)</v>
      </c>
      <c r="N126" s="2" t="str">
        <f t="shared" si="14"/>
        <v>Italy(0.704)</v>
      </c>
      <c r="O126" s="2" t="str">
        <f t="shared" si="15"/>
        <v>Mozambique(0.195)</v>
      </c>
      <c r="P126" s="2" t="str">
        <f t="shared" si="16"/>
        <v>Libya(0.656)</v>
      </c>
      <c r="Q126" s="2" t="str">
        <f t="shared" si="17"/>
        <v>Chad(0.565)</v>
      </c>
      <c r="R126" s="2" t="str">
        <f t="shared" si="18"/>
        <v>Norway(0.215)</v>
      </c>
    </row>
    <row r="127" spans="1:18" x14ac:dyDescent="0.35">
      <c r="A127" s="4" t="s">
        <v>1261</v>
      </c>
      <c r="B127" s="4" t="s">
        <v>125</v>
      </c>
      <c r="C127" s="4" t="s">
        <v>265</v>
      </c>
      <c r="D127" s="4" t="s">
        <v>410</v>
      </c>
      <c r="E127" s="4" t="s">
        <v>550</v>
      </c>
      <c r="F127" s="4" t="s">
        <v>693</v>
      </c>
      <c r="G127" s="2" t="s">
        <v>836</v>
      </c>
      <c r="H127" s="4" t="s">
        <v>975</v>
      </c>
      <c r="I127" s="4" t="s">
        <v>1118</v>
      </c>
      <c r="J127" s="2" t="str">
        <f t="shared" si="10"/>
        <v>Kenya(4.470)</v>
      </c>
      <c r="K127" s="2" t="str">
        <f t="shared" si="11"/>
        <v>Kenya( 4,885)</v>
      </c>
      <c r="L127" s="2" t="str">
        <f t="shared" si="12"/>
        <v>Lesotho(0.682)</v>
      </c>
      <c r="M127" s="2" t="str">
        <f t="shared" si="13"/>
        <v>Kenya(57.700)</v>
      </c>
      <c r="N127" s="2" t="str">
        <f t="shared" si="14"/>
        <v>Gabon(0.706)</v>
      </c>
      <c r="O127" s="2" t="str">
        <f t="shared" si="15"/>
        <v>Colombia(0.198)</v>
      </c>
      <c r="P127" s="2" t="str">
        <f t="shared" si="16"/>
        <v>Taiwan Province of China(0.658)</v>
      </c>
      <c r="Q127" s="2" t="str">
        <f t="shared" si="17"/>
        <v>Albania(0.568)</v>
      </c>
      <c r="R127" s="2" t="str">
        <f t="shared" si="18"/>
        <v>Tanzania(0.218)</v>
      </c>
    </row>
    <row r="128" spans="1:18" x14ac:dyDescent="0.35">
      <c r="A128" s="4" t="s">
        <v>1262</v>
      </c>
      <c r="B128" s="4" t="s">
        <v>126</v>
      </c>
      <c r="C128" s="4" t="s">
        <v>266</v>
      </c>
      <c r="D128" s="4" t="s">
        <v>411</v>
      </c>
      <c r="E128" s="4" t="s">
        <v>551</v>
      </c>
      <c r="F128" s="4" t="s">
        <v>694</v>
      </c>
      <c r="G128" s="2" t="s">
        <v>837</v>
      </c>
      <c r="H128" s="4" t="s">
        <v>976</v>
      </c>
      <c r="I128" s="4" t="s">
        <v>1119</v>
      </c>
      <c r="J128" s="2" t="str">
        <f t="shared" si="10"/>
        <v>Chad(4.471)</v>
      </c>
      <c r="K128" s="2" t="str">
        <f t="shared" si="11"/>
        <v>Nigeria( 4,956)</v>
      </c>
      <c r="L128" s="2" t="str">
        <f t="shared" si="12"/>
        <v>Cameroon(0.684)</v>
      </c>
      <c r="M128" s="2" t="str">
        <f t="shared" si="13"/>
        <v>Ghana(58.000)</v>
      </c>
      <c r="N128" s="2" t="str">
        <f t="shared" si="14"/>
        <v>Venezuela(0.707)</v>
      </c>
      <c r="O128" s="2" t="str">
        <f t="shared" si="15"/>
        <v>Peru(0.198)</v>
      </c>
      <c r="P128" s="2" t="str">
        <f t="shared" si="16"/>
        <v>Algeria(0.661)</v>
      </c>
      <c r="Q128" s="2" t="str">
        <f t="shared" si="17"/>
        <v>Comoros(0.568)</v>
      </c>
      <c r="R128" s="2" t="str">
        <f t="shared" si="18"/>
        <v>Uzbekistan(0.221)</v>
      </c>
    </row>
    <row r="129" spans="1:18" x14ac:dyDescent="0.35">
      <c r="A129" s="4" t="s">
        <v>1263</v>
      </c>
      <c r="B129" s="4" t="s">
        <v>127</v>
      </c>
      <c r="C129" s="4" t="s">
        <v>267</v>
      </c>
      <c r="D129" s="4" t="s">
        <v>412</v>
      </c>
      <c r="E129" s="4" t="s">
        <v>552</v>
      </c>
      <c r="F129" s="4" t="s">
        <v>695</v>
      </c>
      <c r="G129" s="2" t="s">
        <v>838</v>
      </c>
      <c r="H129" s="4" t="s">
        <v>977</v>
      </c>
      <c r="I129" s="4" t="s">
        <v>1120</v>
      </c>
      <c r="J129" s="2" t="str">
        <f t="shared" si="10"/>
        <v>Gambia(4.485)</v>
      </c>
      <c r="K129" s="2" t="str">
        <f t="shared" si="11"/>
        <v>Kyrgyzstan( 5,137)</v>
      </c>
      <c r="L129" s="2" t="str">
        <f t="shared" si="12"/>
        <v>Azerbaijan(0.692)</v>
      </c>
      <c r="M129" s="2" t="str">
        <f t="shared" si="13"/>
        <v>Uganda(58.200)</v>
      </c>
      <c r="N129" s="2" t="str">
        <f t="shared" si="14"/>
        <v>Kenya(0.708)</v>
      </c>
      <c r="O129" s="2" t="str">
        <f t="shared" si="15"/>
        <v>Moldova(0.201)</v>
      </c>
      <c r="P129" s="2" t="str">
        <f t="shared" si="16"/>
        <v>Azerbaijan(0.662)</v>
      </c>
      <c r="Q129" s="2" t="str">
        <f t="shared" si="17"/>
        <v>Iraq(0.576)</v>
      </c>
      <c r="R129" s="2" t="str">
        <f t="shared" si="18"/>
        <v>South Africa(0.221)</v>
      </c>
    </row>
    <row r="130" spans="1:18" x14ac:dyDescent="0.35">
      <c r="A130" s="4" t="s">
        <v>1264</v>
      </c>
      <c r="B130" s="4" t="s">
        <v>128</v>
      </c>
      <c r="C130" s="4" t="s">
        <v>268</v>
      </c>
      <c r="D130" s="4" t="s">
        <v>413</v>
      </c>
      <c r="E130" s="4" t="s">
        <v>553</v>
      </c>
      <c r="F130" s="4" t="s">
        <v>696</v>
      </c>
      <c r="G130" s="2" t="s">
        <v>839</v>
      </c>
      <c r="H130" s="4" t="s">
        <v>978</v>
      </c>
      <c r="I130" s="4" t="s">
        <v>1121</v>
      </c>
      <c r="J130" s="2" t="str">
        <f t="shared" si="10"/>
        <v>Mauritania(4.505)</v>
      </c>
      <c r="K130" s="2" t="str">
        <f t="shared" si="11"/>
        <v>Pakistan( 5,351)</v>
      </c>
      <c r="L130" s="2" t="str">
        <f t="shared" si="12"/>
        <v>Mozambique(0.695)</v>
      </c>
      <c r="M130" s="2" t="str">
        <f t="shared" si="13"/>
        <v>Tanzania(58.500)</v>
      </c>
      <c r="N130" s="2" t="str">
        <f t="shared" si="14"/>
        <v>Cameroon(0.710)</v>
      </c>
      <c r="O130" s="2" t="str">
        <f t="shared" si="15"/>
        <v>South Africa(0.202)</v>
      </c>
      <c r="P130" s="2" t="str">
        <f t="shared" si="16"/>
        <v>Mauritania(0.663)</v>
      </c>
      <c r="Q130" s="2" t="str">
        <f t="shared" si="17"/>
        <v>Bosnia and Herzegovina(0.576)</v>
      </c>
      <c r="R130" s="2" t="str">
        <f t="shared" si="18"/>
        <v>Saudi Arabia(0.224)</v>
      </c>
    </row>
    <row r="131" spans="1:18" x14ac:dyDescent="0.35">
      <c r="A131" s="4" t="s">
        <v>1265</v>
      </c>
      <c r="B131" s="4" t="s">
        <v>129</v>
      </c>
      <c r="C131" s="4" t="s">
        <v>269</v>
      </c>
      <c r="D131" s="4" t="s">
        <v>414</v>
      </c>
      <c r="E131" s="4" t="s">
        <v>554</v>
      </c>
      <c r="F131" s="4" t="s">
        <v>697</v>
      </c>
      <c r="G131" s="2" t="s">
        <v>840</v>
      </c>
      <c r="H131" s="4" t="s">
        <v>979</v>
      </c>
      <c r="I131" s="4" t="s">
        <v>1122</v>
      </c>
      <c r="J131" s="2" t="str">
        <f t="shared" ref="J131:J144" si="19">MID(A131,FIND(" ",A131)+1,LEN(A131)-FIND(" ",A131))</f>
        <v>Burkina Faso(4.548)</v>
      </c>
      <c r="K131" s="2" t="str">
        <f t="shared" si="11"/>
        <v>Ghana( 5,474)</v>
      </c>
      <c r="L131" s="2" t="str">
        <f t="shared" si="12"/>
        <v>Kenya(0.700)</v>
      </c>
      <c r="M131" s="2" t="str">
        <f t="shared" si="13"/>
        <v>Comoros(58.900)</v>
      </c>
      <c r="N131" s="2" t="str">
        <f t="shared" si="14"/>
        <v>Guinea(0.710)</v>
      </c>
      <c r="O131" s="2" t="str">
        <f t="shared" si="15"/>
        <v>Jamaica(0.203)</v>
      </c>
      <c r="P131" s="2" t="str">
        <f t="shared" si="16"/>
        <v>Mozambique(0.666)</v>
      </c>
      <c r="Q131" s="2" t="str">
        <f t="shared" si="17"/>
        <v>Benin(0.581)</v>
      </c>
      <c r="R131" s="2" t="str">
        <f t="shared" si="18"/>
        <v>Germany(0.228)</v>
      </c>
    </row>
    <row r="132" spans="1:18" x14ac:dyDescent="0.35">
      <c r="A132" s="4" t="s">
        <v>1266</v>
      </c>
      <c r="B132" s="4" t="s">
        <v>130</v>
      </c>
      <c r="C132" s="4" t="s">
        <v>270</v>
      </c>
      <c r="D132" s="4" t="s">
        <v>415</v>
      </c>
      <c r="E132" s="4" t="s">
        <v>555</v>
      </c>
      <c r="F132" s="4" t="s">
        <v>698</v>
      </c>
      <c r="G132" s="2" t="s">
        <v>841</v>
      </c>
      <c r="H132" s="4" t="s">
        <v>980</v>
      </c>
      <c r="I132" s="4" t="s">
        <v>1123</v>
      </c>
      <c r="J132" s="2" t="str">
        <f t="shared" si="19"/>
        <v>Niger(4.556)</v>
      </c>
      <c r="K132" s="2" t="str">
        <f t="shared" si="11"/>
        <v>Mauritania( 5,492)</v>
      </c>
      <c r="L132" s="2" t="str">
        <f t="shared" si="12"/>
        <v>Ethiopia(0.707)</v>
      </c>
      <c r="M132" s="2" t="str">
        <f t="shared" si="13"/>
        <v>Senegal(59.400)</v>
      </c>
      <c r="N132" s="2" t="str">
        <f t="shared" si="14"/>
        <v>Congo (Brazzaville)(0.711)</v>
      </c>
      <c r="O132" s="2" t="str">
        <f t="shared" si="15"/>
        <v>Ecuador(0.204)</v>
      </c>
      <c r="P132" s="2" t="str">
        <f t="shared" si="16"/>
        <v>Dominican Republic(0.667)</v>
      </c>
      <c r="Q132" s="2" t="str">
        <f t="shared" si="17"/>
        <v>Congo (Brazzaville)(0.581)</v>
      </c>
      <c r="R132" s="2" t="str">
        <f t="shared" si="18"/>
        <v>China(0.229)</v>
      </c>
    </row>
    <row r="133" spans="1:18" x14ac:dyDescent="0.35">
      <c r="A133" s="4" t="s">
        <v>1267</v>
      </c>
      <c r="B133" s="4" t="s">
        <v>131</v>
      </c>
      <c r="C133" s="4" t="s">
        <v>271</v>
      </c>
      <c r="D133" s="4" t="s">
        <v>416</v>
      </c>
      <c r="E133" s="4" t="s">
        <v>556</v>
      </c>
      <c r="F133" s="4" t="s">
        <v>699</v>
      </c>
      <c r="G133" s="2" t="s">
        <v>842</v>
      </c>
      <c r="H133" s="4" t="s">
        <v>981</v>
      </c>
      <c r="I133" s="4" t="s">
        <v>1124</v>
      </c>
      <c r="J133" s="2" t="str">
        <f t="shared" si="19"/>
        <v>Pakistan(4.657)</v>
      </c>
      <c r="K133" s="2" t="str">
        <f t="shared" si="11"/>
        <v>Ivory Coast( 5,531)</v>
      </c>
      <c r="L133" s="2" t="str">
        <f t="shared" si="12"/>
        <v>Albania(0.711)</v>
      </c>
      <c r="M133" s="2" t="str">
        <f t="shared" si="13"/>
        <v>Mauritania(59.800)</v>
      </c>
      <c r="N133" s="2" t="str">
        <f t="shared" si="14"/>
        <v>Lesotho(0.711)</v>
      </c>
      <c r="O133" s="2" t="str">
        <f t="shared" si="15"/>
        <v>Portugal(0.207)</v>
      </c>
      <c r="P133" s="2" t="str">
        <f t="shared" si="16"/>
        <v>Israel(0.671)</v>
      </c>
      <c r="Q133" s="2" t="str">
        <f t="shared" si="17"/>
        <v>State of Palestine(0.582)</v>
      </c>
      <c r="R133" s="2" t="str">
        <f t="shared" si="18"/>
        <v>Tajikistan(0.230)</v>
      </c>
    </row>
    <row r="134" spans="1:18" x14ac:dyDescent="0.35">
      <c r="A134" s="4" t="s">
        <v>1268</v>
      </c>
      <c r="B134" s="4" t="s">
        <v>132</v>
      </c>
      <c r="C134" s="4" t="s">
        <v>272</v>
      </c>
      <c r="D134" s="4" t="s">
        <v>417</v>
      </c>
      <c r="E134" s="4" t="s">
        <v>557</v>
      </c>
      <c r="F134" s="4" t="s">
        <v>700</v>
      </c>
      <c r="G134" s="2" t="s">
        <v>843</v>
      </c>
      <c r="H134" s="4" t="s">
        <v>982</v>
      </c>
      <c r="I134" s="4" t="s">
        <v>1125</v>
      </c>
      <c r="J134" s="2" t="str">
        <f t="shared" si="19"/>
        <v>Morocco(4.795)</v>
      </c>
      <c r="K134" s="2" t="str">
        <f t="shared" si="11"/>
        <v>Honduras( 5,701)</v>
      </c>
      <c r="L134" s="2" t="str">
        <f t="shared" si="12"/>
        <v>Eswatini(0.711)</v>
      </c>
      <c r="M134" s="2" t="str">
        <f t="shared" si="13"/>
        <v>Ethiopia(59.900)</v>
      </c>
      <c r="N134" s="2" t="str">
        <f t="shared" si="14"/>
        <v>Cyprus(0.715)</v>
      </c>
      <c r="O134" s="2" t="str">
        <f t="shared" si="15"/>
        <v>Comoros(0.210)</v>
      </c>
      <c r="P134" s="2" t="str">
        <f t="shared" si="16"/>
        <v>Jordan(0.675)</v>
      </c>
      <c r="Q134" s="2" t="str">
        <f t="shared" si="17"/>
        <v>South Korea(0.586)</v>
      </c>
      <c r="R134" s="2" t="str">
        <f t="shared" si="18"/>
        <v>Namibia(0.233)</v>
      </c>
    </row>
    <row r="135" spans="1:18" x14ac:dyDescent="0.35">
      <c r="A135" s="4" t="s">
        <v>1269</v>
      </c>
      <c r="B135" s="4" t="s">
        <v>133</v>
      </c>
      <c r="C135" s="4" t="s">
        <v>273</v>
      </c>
      <c r="D135" s="4" t="s">
        <v>418</v>
      </c>
      <c r="E135" s="4" t="s">
        <v>558</v>
      </c>
      <c r="F135" s="4" t="s">
        <v>701</v>
      </c>
      <c r="G135" s="2" t="s">
        <v>844</v>
      </c>
      <c r="H135" s="4" t="s">
        <v>983</v>
      </c>
      <c r="I135" s="4" t="s">
        <v>1126</v>
      </c>
      <c r="J135" s="2" t="str">
        <f t="shared" si="19"/>
        <v>Namibia(4.832)</v>
      </c>
      <c r="K135" s="2" t="str">
        <f t="shared" si="11"/>
        <v>Nicaragua( 5,809)</v>
      </c>
      <c r="L135" s="2" t="str">
        <f t="shared" si="12"/>
        <v>Tunisia(0.723)</v>
      </c>
      <c r="M135" s="2" t="str">
        <f t="shared" si="13"/>
        <v>Mongolia(60.300)</v>
      </c>
      <c r="N135" s="2" t="str">
        <f t="shared" si="14"/>
        <v>Lithuania(0.718)</v>
      </c>
      <c r="O135" s="2" t="str">
        <f t="shared" si="15"/>
        <v>Cameroon(0.210)</v>
      </c>
      <c r="P135" s="2" t="str">
        <f t="shared" si="16"/>
        <v>Iceland(0.685)</v>
      </c>
      <c r="Q135" s="2" t="str">
        <f t="shared" si="17"/>
        <v>Moldova(0.590)</v>
      </c>
      <c r="R135" s="2" t="str">
        <f t="shared" si="18"/>
        <v>South Korea(0.233)</v>
      </c>
    </row>
    <row r="136" spans="1:18" x14ac:dyDescent="0.35">
      <c r="A136" s="4" t="s">
        <v>1270</v>
      </c>
      <c r="B136" s="4" t="s">
        <v>134</v>
      </c>
      <c r="C136" s="4" t="s">
        <v>274</v>
      </c>
      <c r="D136" s="4" t="s">
        <v>419</v>
      </c>
      <c r="E136" s="4" t="s">
        <v>559</v>
      </c>
      <c r="F136" s="4" t="s">
        <v>702</v>
      </c>
      <c r="G136" s="2" t="s">
        <v>845</v>
      </c>
      <c r="H136" s="4" t="s">
        <v>984</v>
      </c>
      <c r="I136" s="4" t="s">
        <v>1127</v>
      </c>
      <c r="J136" s="2" t="str">
        <f t="shared" si="19"/>
        <v>Ukraine(4.873)</v>
      </c>
      <c r="K136" s="2" t="str">
        <f t="shared" si="11"/>
        <v>Bangladesh( 6,228)</v>
      </c>
      <c r="L136" s="2" t="str">
        <f t="shared" si="12"/>
        <v>Botswana(0.728)</v>
      </c>
      <c r="M136" s="2" t="str">
        <f t="shared" si="13"/>
        <v>India(60.300)</v>
      </c>
      <c r="N136" s="2" t="str">
        <f t="shared" si="14"/>
        <v>South Africa(0.721)</v>
      </c>
      <c r="O136" s="2" t="str">
        <f t="shared" si="15"/>
        <v>Bolivia(0.211)</v>
      </c>
      <c r="P136" s="2" t="str">
        <f t="shared" si="16"/>
        <v>Burkina Faso(0.690)</v>
      </c>
      <c r="Q136" s="2" t="str">
        <f t="shared" si="17"/>
        <v>Bulgaria(0.590)</v>
      </c>
      <c r="R136" s="2" t="str">
        <f t="shared" si="18"/>
        <v>Georgia(0.235)</v>
      </c>
    </row>
    <row r="137" spans="1:18" x14ac:dyDescent="0.35">
      <c r="A137" s="4" t="s">
        <v>1271</v>
      </c>
      <c r="B137" s="4" t="s">
        <v>135</v>
      </c>
      <c r="C137" s="4" t="s">
        <v>275</v>
      </c>
      <c r="D137" s="4" t="s">
        <v>420</v>
      </c>
      <c r="E137" s="4" t="s">
        <v>560</v>
      </c>
      <c r="F137" s="4" t="s">
        <v>703</v>
      </c>
      <c r="G137" s="2" t="s">
        <v>846</v>
      </c>
      <c r="H137" s="4" t="s">
        <v>985</v>
      </c>
      <c r="I137" s="4" t="s">
        <v>1128</v>
      </c>
      <c r="J137" s="2" t="str">
        <f t="shared" si="19"/>
        <v>Cameroon(4.874)</v>
      </c>
      <c r="K137" s="2" t="str">
        <f t="shared" si="11"/>
        <v>India( 7,076)</v>
      </c>
      <c r="L137" s="2" t="str">
        <f t="shared" si="12"/>
        <v>Jordan(0.734)</v>
      </c>
      <c r="M137" s="2" t="str">
        <f t="shared" si="13"/>
        <v>Laos(60.500)</v>
      </c>
      <c r="N137" s="2" t="str">
        <f t="shared" si="14"/>
        <v>Pakistan(0.725)</v>
      </c>
      <c r="O137" s="2" t="str">
        <f t="shared" si="15"/>
        <v>Lithuania(0.211)</v>
      </c>
      <c r="P137" s="2" t="str">
        <f t="shared" si="16"/>
        <v>Spain(0.692)</v>
      </c>
      <c r="Q137" s="2" t="str">
        <f t="shared" si="17"/>
        <v>Togo(0.591)</v>
      </c>
      <c r="R137" s="2" t="str">
        <f t="shared" si="18"/>
        <v>Nigeria(0.237)</v>
      </c>
    </row>
    <row r="138" spans="1:18" x14ac:dyDescent="0.35">
      <c r="A138" s="4" t="s">
        <v>1272</v>
      </c>
      <c r="B138" s="4" t="s">
        <v>136</v>
      </c>
      <c r="C138" s="4" t="s">
        <v>276</v>
      </c>
      <c r="D138" s="4" t="s">
        <v>421</v>
      </c>
      <c r="E138" s="4" t="s">
        <v>561</v>
      </c>
      <c r="F138" s="4" t="s">
        <v>704</v>
      </c>
      <c r="G138" s="2" t="s">
        <v>847</v>
      </c>
      <c r="H138" s="4" t="s">
        <v>986</v>
      </c>
      <c r="I138" s="4" t="s">
        <v>1129</v>
      </c>
      <c r="J138" s="2" t="str">
        <f t="shared" si="19"/>
        <v>State of Palestine(4.879)</v>
      </c>
      <c r="K138" s="2" t="str">
        <f t="shared" si="11"/>
        <v>Laos( 7,986)</v>
      </c>
      <c r="L138" s="2" t="str">
        <f t="shared" si="12"/>
        <v>Myanmar(0.736)</v>
      </c>
      <c r="M138" s="2" t="str">
        <f t="shared" si="13"/>
        <v>Myanmar(60.900)</v>
      </c>
      <c r="N138" s="2" t="str">
        <f t="shared" si="14"/>
        <v>Liberia(0.727)</v>
      </c>
      <c r="O138" s="2" t="str">
        <f t="shared" si="15"/>
        <v>Philippines(0.212)</v>
      </c>
      <c r="P138" s="2" t="str">
        <f t="shared" si="16"/>
        <v>Poland(0.695)</v>
      </c>
      <c r="Q138" s="2" t="str">
        <f t="shared" si="17"/>
        <v>Cameroon(0.597)</v>
      </c>
      <c r="R138" s="2" t="str">
        <f t="shared" si="18"/>
        <v>Austria(0.241)</v>
      </c>
    </row>
    <row r="139" spans="1:18" x14ac:dyDescent="0.35">
      <c r="A139" s="4" t="s">
        <v>1273</v>
      </c>
      <c r="B139" s="4" t="s">
        <v>137</v>
      </c>
      <c r="C139" s="4" t="s">
        <v>277</v>
      </c>
      <c r="D139" s="4" t="s">
        <v>422</v>
      </c>
      <c r="E139" s="4" t="s">
        <v>562</v>
      </c>
      <c r="F139" s="4" t="s">
        <v>705</v>
      </c>
      <c r="G139" s="2" t="s">
        <v>848</v>
      </c>
      <c r="H139" s="4" t="s">
        <v>987</v>
      </c>
      <c r="I139" s="4" t="s">
        <v>1130</v>
      </c>
      <c r="J139" s="2" t="str">
        <f t="shared" si="19"/>
        <v>Nigeria(4.881)</v>
      </c>
      <c r="K139" s="2" t="str">
        <f t="shared" si="11"/>
        <v>Uzbekistan( 8,060)</v>
      </c>
      <c r="L139" s="2" t="str">
        <f t="shared" si="12"/>
        <v>Georgia(0.737)</v>
      </c>
      <c r="M139" s="2" t="str">
        <f t="shared" si="13"/>
        <v>Nepal(61.300)</v>
      </c>
      <c r="N139" s="2" t="str">
        <f t="shared" si="14"/>
        <v>Ivory Coast(0.728)</v>
      </c>
      <c r="O139" s="2" t="str">
        <f t="shared" si="15"/>
        <v>Algeria(0.217)</v>
      </c>
      <c r="P139" s="2" t="str">
        <f t="shared" si="16"/>
        <v>Georgia(0.696)</v>
      </c>
      <c r="Q139" s="2" t="str">
        <f t="shared" si="17"/>
        <v>Kosovo(0.602)</v>
      </c>
      <c r="R139" s="2" t="str">
        <f t="shared" si="18"/>
        <v>Ireland(0.242)</v>
      </c>
    </row>
    <row r="140" spans="1:18" x14ac:dyDescent="0.35">
      <c r="A140" s="4" t="s">
        <v>1274</v>
      </c>
      <c r="B140" s="4" t="s">
        <v>138</v>
      </c>
      <c r="C140" s="4" t="s">
        <v>278</v>
      </c>
      <c r="D140" s="4" t="s">
        <v>423</v>
      </c>
      <c r="E140" s="4" t="s">
        <v>563</v>
      </c>
      <c r="F140" s="4" t="s">
        <v>706</v>
      </c>
      <c r="G140" s="2"/>
      <c r="H140" s="4" t="s">
        <v>988</v>
      </c>
      <c r="I140" s="4" t="s">
        <v>1131</v>
      </c>
      <c r="J140" s="2" t="str">
        <f t="shared" si="19"/>
        <v>Azerbaijan(4.893)</v>
      </c>
      <c r="K140" s="2" t="str">
        <f t="shared" si="11"/>
        <v>Morocco( 8,101)</v>
      </c>
      <c r="L140" s="2" t="str">
        <f t="shared" si="12"/>
        <v>Nepal(0.737)</v>
      </c>
      <c r="M140" s="2" t="str">
        <f t="shared" si="13"/>
        <v>Cambodia(61.500)</v>
      </c>
      <c r="N140" s="2" t="str">
        <f t="shared" si="14"/>
        <v>Russia(0.732)</v>
      </c>
      <c r="O140" s="2" t="str">
        <f t="shared" si="15"/>
        <v>Ivory Coast(0.223)</v>
      </c>
      <c r="P140" s="2"/>
      <c r="Q140" s="2" t="str">
        <f t="shared" si="17"/>
        <v>Libya(0.606)</v>
      </c>
      <c r="R140" s="2" t="str">
        <f t="shared" si="18"/>
        <v>Paraguay(0.242)</v>
      </c>
    </row>
    <row r="141" spans="1:18" x14ac:dyDescent="0.35">
      <c r="A141" s="4" t="s">
        <v>1275</v>
      </c>
      <c r="B141" s="2"/>
      <c r="C141" s="4" t="s">
        <v>279</v>
      </c>
      <c r="D141" s="2"/>
      <c r="E141" s="4" t="s">
        <v>564</v>
      </c>
      <c r="F141" s="4" t="s">
        <v>707</v>
      </c>
      <c r="G141" s="2"/>
      <c r="H141" s="4" t="s">
        <v>989</v>
      </c>
      <c r="I141" s="4" t="s">
        <v>1132</v>
      </c>
      <c r="J141" s="2" t="str">
        <f t="shared" si="19"/>
        <v>Iran(4.923)</v>
      </c>
      <c r="K141" s="2"/>
      <c r="L141" s="2" t="str">
        <f t="shared" si="12"/>
        <v>Egypt(0.739)</v>
      </c>
      <c r="M141" s="2"/>
      <c r="N141" s="2" t="str">
        <f t="shared" si="14"/>
        <v>South Korea(0.734)</v>
      </c>
      <c r="O141" s="2" t="str">
        <f t="shared" si="15"/>
        <v>Vietnam(0.224)</v>
      </c>
      <c r="P141" s="2"/>
      <c r="Q141" s="2" t="str">
        <f t="shared" si="17"/>
        <v>Russia(0.607)</v>
      </c>
      <c r="R141" s="2" t="str">
        <f t="shared" si="18"/>
        <v>Australia(0.242)</v>
      </c>
    </row>
    <row r="142" spans="1:18" x14ac:dyDescent="0.35">
      <c r="A142" s="4" t="s">
        <v>1276</v>
      </c>
      <c r="B142" s="2"/>
      <c r="C142" s="4" t="s">
        <v>280</v>
      </c>
      <c r="D142" s="2"/>
      <c r="E142" s="4" t="s">
        <v>565</v>
      </c>
      <c r="F142" s="4" t="s">
        <v>708</v>
      </c>
      <c r="G142" s="2"/>
      <c r="H142" s="4" t="s">
        <v>990</v>
      </c>
      <c r="I142" s="4" t="s">
        <v>1133</v>
      </c>
      <c r="J142" s="2" t="str">
        <f t="shared" si="19"/>
        <v>Senegal(4.969)</v>
      </c>
      <c r="K142" s="2"/>
      <c r="L142" s="2" t="str">
        <f t="shared" si="12"/>
        <v>Iraq(0.739)</v>
      </c>
      <c r="M142" s="2"/>
      <c r="N142" s="2" t="str">
        <f t="shared" si="14"/>
        <v>Nigeria(0.742)</v>
      </c>
      <c r="O142" s="2" t="str">
        <f t="shared" si="15"/>
        <v>Guatemala(0.227)</v>
      </c>
      <c r="P142" s="2"/>
      <c r="Q142" s="2" t="str">
        <f t="shared" si="17"/>
        <v>Greece(0.607)</v>
      </c>
      <c r="R142" s="2" t="str">
        <f t="shared" si="18"/>
        <v>Thailand(0.243)</v>
      </c>
    </row>
    <row r="143" spans="1:18" x14ac:dyDescent="0.35">
      <c r="A143" s="4" t="s">
        <v>1277</v>
      </c>
      <c r="B143" s="2"/>
      <c r="C143" s="4" t="s">
        <v>281</v>
      </c>
      <c r="D143" s="2"/>
      <c r="E143" s="4" t="s">
        <v>566</v>
      </c>
      <c r="F143" s="4" t="s">
        <v>709</v>
      </c>
      <c r="G143" s="2"/>
      <c r="H143" s="4" t="s">
        <v>991</v>
      </c>
      <c r="I143" s="4" t="s">
        <v>1134</v>
      </c>
      <c r="J143" s="2" t="str">
        <f t="shared" si="19"/>
        <v>Turkiye(4.975)</v>
      </c>
      <c r="K143" s="2"/>
      <c r="L143" s="2" t="str">
        <f t="shared" si="12"/>
        <v>Cambodia(0.748)</v>
      </c>
      <c r="M143" s="2"/>
      <c r="N143" s="2" t="str">
        <f t="shared" si="14"/>
        <v>Slovakia(0.742)</v>
      </c>
      <c r="O143" s="2" t="str">
        <f t="shared" si="15"/>
        <v>Panama(0.234)</v>
      </c>
      <c r="P143" s="2"/>
      <c r="Q143" s="2" t="str">
        <f t="shared" si="17"/>
        <v>Croatia(0.610)</v>
      </c>
      <c r="R143" s="2" t="str">
        <f t="shared" si="18"/>
        <v>Panama(0.243)</v>
      </c>
    </row>
    <row r="144" spans="1:18" x14ac:dyDescent="0.35">
      <c r="A144" s="4" t="s">
        <v>1278</v>
      </c>
      <c r="B144" s="2"/>
      <c r="C144" s="4" t="s">
        <v>282</v>
      </c>
      <c r="D144" s="2"/>
      <c r="E144" s="2"/>
      <c r="F144" s="4" t="s">
        <v>710</v>
      </c>
      <c r="G144" s="2"/>
      <c r="H144" s="4" t="s">
        <v>992</v>
      </c>
      <c r="I144" s="4" t="s">
        <v>1135</v>
      </c>
      <c r="J144" s="2" t="str">
        <f t="shared" si="19"/>
        <v>Guinea(5.023)</v>
      </c>
      <c r="K144" s="2"/>
      <c r="L144" s="2" t="str">
        <f t="shared" si="12"/>
        <v>Honduras(0.754)</v>
      </c>
      <c r="M144" s="2"/>
      <c r="N144" s="2"/>
      <c r="O144" s="2" t="str">
        <f t="shared" si="15"/>
        <v>Madagascar(0.235)</v>
      </c>
      <c r="P144" s="2"/>
      <c r="Q144" s="2" t="str">
        <f t="shared" si="17"/>
        <v>Mozambique(0.615)</v>
      </c>
      <c r="R144" s="2" t="str">
        <f t="shared" si="18"/>
        <v>Chile(0.245)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405C-4D43-4CB1-92C2-43E6010C5380}">
  <dimension ref="A1:R132"/>
  <sheetViews>
    <sheetView zoomScale="68" workbookViewId="0">
      <selection sqref="A1:A1048576"/>
    </sheetView>
  </sheetViews>
  <sheetFormatPr defaultRowHeight="14.5" x14ac:dyDescent="0.35"/>
  <cols>
    <col min="1" max="1" width="27.6328125" bestFit="1" customWidth="1"/>
    <col min="2" max="2" width="29" bestFit="1" customWidth="1"/>
    <col min="3" max="3" width="27.6328125" bestFit="1" customWidth="1"/>
    <col min="4" max="4" width="27.08984375" bestFit="1" customWidth="1"/>
    <col min="5" max="9" width="27.6328125" bestFit="1" customWidth="1"/>
  </cols>
  <sheetData>
    <row r="1" spans="1:18" x14ac:dyDescent="0.35">
      <c r="A1" s="1" t="s">
        <v>1279</v>
      </c>
      <c r="B1" s="1" t="s">
        <v>139</v>
      </c>
      <c r="C1" s="1" t="s">
        <v>283</v>
      </c>
      <c r="D1" s="1" t="s">
        <v>284</v>
      </c>
      <c r="E1" s="1" t="s">
        <v>424</v>
      </c>
      <c r="F1" s="1" t="s">
        <v>567</v>
      </c>
      <c r="G1" s="1" t="s">
        <v>849</v>
      </c>
      <c r="H1" s="1" t="s">
        <v>1280</v>
      </c>
      <c r="I1" s="1" t="s">
        <v>1281</v>
      </c>
      <c r="J1" s="2"/>
      <c r="K1" s="2"/>
      <c r="L1" s="2"/>
      <c r="M1" s="2"/>
      <c r="N1" s="2"/>
      <c r="O1" s="2"/>
      <c r="P1" s="2"/>
      <c r="Q1" s="2"/>
      <c r="R1" s="2"/>
    </row>
    <row r="2" spans="1:18" x14ac:dyDescent="0.35">
      <c r="A2" s="2" t="s">
        <v>2071</v>
      </c>
      <c r="B2" s="2" t="s">
        <v>2129</v>
      </c>
      <c r="C2" s="2" t="s">
        <v>2072</v>
      </c>
      <c r="D2" s="2" t="s">
        <v>2131</v>
      </c>
      <c r="E2" s="2" t="s">
        <v>2074</v>
      </c>
      <c r="F2" s="2" t="s">
        <v>2099</v>
      </c>
      <c r="G2" s="2" t="s">
        <v>2022</v>
      </c>
      <c r="H2" s="2" t="s">
        <v>2076</v>
      </c>
      <c r="I2" s="2" t="s">
        <v>1679</v>
      </c>
      <c r="J2" s="2" t="str">
        <f>MID(A2,FIND("(",A2)+1,LEN(A2)-FIND("(",A2)-1)</f>
        <v>1.721</v>
      </c>
      <c r="K2" s="2" t="str">
        <f t="shared" ref="K2:R17" si="0">MID(B2,FIND("(",B2)+1,LEN(B2)-FIND("(",B2)-1)</f>
        <v xml:space="preserve"> 1,517</v>
      </c>
      <c r="L2" s="2" t="str">
        <f t="shared" si="0"/>
        <v>0.350</v>
      </c>
      <c r="M2" s="2" t="str">
        <f t="shared" si="0"/>
        <v>53.900</v>
      </c>
      <c r="N2" s="2" t="str">
        <f t="shared" si="0"/>
        <v>0.331</v>
      </c>
      <c r="O2" s="2" t="str">
        <f t="shared" si="0"/>
        <v>0.082</v>
      </c>
      <c r="P2" s="2" t="str">
        <f t="shared" si="0"/>
        <v>0.813</v>
      </c>
      <c r="Q2" s="2" t="str">
        <f t="shared" si="0"/>
        <v>0.215</v>
      </c>
      <c r="R2" s="2" t="str">
        <f t="shared" si="0"/>
        <v>0.548</v>
      </c>
    </row>
    <row r="3" spans="1:18" x14ac:dyDescent="0.35">
      <c r="A3" s="2" t="s">
        <v>1756</v>
      </c>
      <c r="B3" s="2" t="s">
        <v>1923</v>
      </c>
      <c r="C3" s="2" t="s">
        <v>2354</v>
      </c>
      <c r="D3" s="2" t="s">
        <v>1399</v>
      </c>
      <c r="E3" s="2" t="s">
        <v>2004</v>
      </c>
      <c r="F3" s="2" t="s">
        <v>1964</v>
      </c>
      <c r="G3" s="2" t="s">
        <v>1500</v>
      </c>
      <c r="H3" s="2" t="s">
        <v>2310</v>
      </c>
      <c r="I3" s="2" t="s">
        <v>1836</v>
      </c>
      <c r="J3" s="2" t="str">
        <f t="shared" ref="J3:J66" si="1">MID(A3,FIND("(",A3)+1,LEN(A3)-FIND("(",A3)-1)</f>
        <v>5.304</v>
      </c>
      <c r="K3" s="2" t="str">
        <f t="shared" si="0"/>
        <v xml:space="preserve"> 15,399</v>
      </c>
      <c r="L3" s="2" t="str">
        <f t="shared" si="0"/>
        <v>0.711</v>
      </c>
      <c r="M3" s="2" t="str">
        <f t="shared" si="0"/>
        <v>69.100</v>
      </c>
      <c r="N3" s="2" t="str">
        <f t="shared" si="0"/>
        <v>0.832</v>
      </c>
      <c r="O3" s="2" t="str">
        <f t="shared" si="0"/>
        <v>0.335</v>
      </c>
      <c r="P3" s="2" t="str">
        <f t="shared" si="0"/>
        <v>0.867</v>
      </c>
      <c r="Q3" s="2" t="str">
        <f t="shared" si="0"/>
        <v>0.568</v>
      </c>
      <c r="R3" s="2" t="str">
        <f t="shared" si="0"/>
        <v>0.274</v>
      </c>
    </row>
    <row r="4" spans="1:18" x14ac:dyDescent="0.35">
      <c r="A4" s="2" t="s">
        <v>1772</v>
      </c>
      <c r="B4" s="2" t="s">
        <v>1773</v>
      </c>
      <c r="C4" s="2" t="s">
        <v>1839</v>
      </c>
      <c r="D4" s="2" t="s">
        <v>1994</v>
      </c>
      <c r="E4" s="2" t="s">
        <v>2106</v>
      </c>
      <c r="F4" s="2" t="s">
        <v>2408</v>
      </c>
      <c r="G4" s="2" t="s">
        <v>2317</v>
      </c>
      <c r="H4" s="2" t="s">
        <v>2225</v>
      </c>
      <c r="I4" s="2" t="s">
        <v>1764</v>
      </c>
      <c r="J4" s="2" t="str">
        <f t="shared" si="1"/>
        <v>5.364</v>
      </c>
      <c r="K4" s="2" t="str">
        <f t="shared" si="0"/>
        <v xml:space="preserve"> 11,101</v>
      </c>
      <c r="L4" s="2" t="str">
        <f t="shared" si="0"/>
        <v>0.815</v>
      </c>
      <c r="M4" s="2" t="str">
        <f t="shared" si="0"/>
        <v>66.400</v>
      </c>
      <c r="N4" s="2" t="str">
        <f t="shared" si="0"/>
        <v>0.511</v>
      </c>
      <c r="O4" s="2" t="str">
        <f t="shared" si="0"/>
        <v>0.217</v>
      </c>
      <c r="P4" s="2" t="str">
        <f t="shared" si="0"/>
        <v>0.661</v>
      </c>
      <c r="Q4" s="2" t="str">
        <f t="shared" si="0"/>
        <v>0.537</v>
      </c>
      <c r="R4" s="2" t="str">
        <f t="shared" si="0"/>
        <v>0.260</v>
      </c>
    </row>
    <row r="5" spans="1:18" x14ac:dyDescent="0.35">
      <c r="A5" s="2" t="s">
        <v>1282</v>
      </c>
      <c r="B5" s="2" t="s">
        <v>2026</v>
      </c>
      <c r="C5" s="2" t="s">
        <v>1383</v>
      </c>
      <c r="D5" s="2" t="s">
        <v>2058</v>
      </c>
      <c r="E5" s="2" t="s">
        <v>1987</v>
      </c>
      <c r="F5" s="2" t="s">
        <v>1752</v>
      </c>
      <c r="G5" s="2" t="s">
        <v>1288</v>
      </c>
      <c r="H5" s="2" t="s">
        <v>2054</v>
      </c>
      <c r="I5" s="2" t="s">
        <v>1999</v>
      </c>
      <c r="J5" s="2" t="str">
        <f t="shared" si="1"/>
        <v>6.188</v>
      </c>
      <c r="K5" s="2" t="str">
        <f t="shared" si="0"/>
        <v xml:space="preserve"> 21,951</v>
      </c>
      <c r="L5" s="2" t="str">
        <f t="shared" si="0"/>
        <v>0.889</v>
      </c>
      <c r="M5" s="2" t="str">
        <f t="shared" si="0"/>
        <v>67.100</v>
      </c>
      <c r="N5" s="2" t="str">
        <f t="shared" si="0"/>
        <v>0.825</v>
      </c>
      <c r="O5" s="2" t="str">
        <f t="shared" si="0"/>
        <v>0.256</v>
      </c>
      <c r="P5" s="2" t="str">
        <f t="shared" si="0"/>
        <v>0.824</v>
      </c>
      <c r="Q5" s="2" t="str">
        <f t="shared" si="0"/>
        <v>0.710</v>
      </c>
      <c r="R5" s="2" t="str">
        <f t="shared" si="0"/>
        <v>0.310</v>
      </c>
    </row>
    <row r="6" spans="1:18" x14ac:dyDescent="0.35">
      <c r="A6" s="2" t="s">
        <v>1797</v>
      </c>
      <c r="B6" s="2" t="s">
        <v>1931</v>
      </c>
      <c r="C6" s="2" t="s">
        <v>1758</v>
      </c>
      <c r="D6" s="2" t="s">
        <v>2066</v>
      </c>
      <c r="E6" s="2" t="s">
        <v>1933</v>
      </c>
      <c r="F6" s="2" t="s">
        <v>2205</v>
      </c>
      <c r="G6" s="2" t="s">
        <v>1694</v>
      </c>
      <c r="H6" s="2" t="s">
        <v>2287</v>
      </c>
      <c r="I6" s="2" t="s">
        <v>1652</v>
      </c>
      <c r="J6" s="2" t="str">
        <f t="shared" si="1"/>
        <v>5.455</v>
      </c>
      <c r="K6" s="2" t="str">
        <f t="shared" si="0"/>
        <v xml:space="preserve"> 15,652</v>
      </c>
      <c r="L6" s="2" t="str">
        <f t="shared" si="0"/>
        <v>0.801</v>
      </c>
      <c r="M6" s="2" t="str">
        <f t="shared" si="0"/>
        <v>67.100</v>
      </c>
      <c r="N6" s="2" t="str">
        <f t="shared" si="0"/>
        <v>0.803</v>
      </c>
      <c r="O6" s="2" t="str">
        <f t="shared" si="0"/>
        <v>0.159</v>
      </c>
      <c r="P6" s="2" t="str">
        <f t="shared" si="0"/>
        <v>0.698</v>
      </c>
      <c r="Q6" s="2" t="str">
        <f t="shared" si="0"/>
        <v>0.559</v>
      </c>
      <c r="R6" s="2" t="str">
        <f t="shared" si="0"/>
        <v>0.483</v>
      </c>
    </row>
    <row r="7" spans="1:18" x14ac:dyDescent="0.35">
      <c r="A7" s="2" t="s">
        <v>1594</v>
      </c>
      <c r="B7" s="2" t="s">
        <v>1537</v>
      </c>
      <c r="C7" s="2" t="s">
        <v>1521</v>
      </c>
      <c r="D7" s="2" t="s">
        <v>1482</v>
      </c>
      <c r="E7" s="2" t="s">
        <v>1426</v>
      </c>
      <c r="F7" s="2" t="s">
        <v>1573</v>
      </c>
      <c r="G7" s="2" t="s">
        <v>2206</v>
      </c>
      <c r="H7" s="2" t="s">
        <v>1354</v>
      </c>
      <c r="I7" s="2" t="s">
        <v>2424</v>
      </c>
      <c r="J7" s="2" t="str">
        <f t="shared" si="1"/>
        <v>7.057</v>
      </c>
      <c r="K7" s="2" t="str">
        <f t="shared" si="0"/>
        <v xml:space="preserve"> 50,703</v>
      </c>
      <c r="L7" s="2" t="str">
        <f t="shared" si="0"/>
        <v>0.920</v>
      </c>
      <c r="M7" s="2" t="str">
        <f t="shared" si="0"/>
        <v>70.900</v>
      </c>
      <c r="N7" s="2" t="str">
        <f t="shared" si="0"/>
        <v>0.880</v>
      </c>
      <c r="O7" s="2" t="str">
        <f t="shared" si="0"/>
        <v>0.600</v>
      </c>
      <c r="P7" s="2" t="str">
        <f t="shared" si="0"/>
        <v>0.493</v>
      </c>
      <c r="Q7" s="2" t="str">
        <f t="shared" si="0"/>
        <v>0.728</v>
      </c>
      <c r="R7" s="2" t="str">
        <f t="shared" si="0"/>
        <v>0.242</v>
      </c>
    </row>
    <row r="8" spans="1:18" x14ac:dyDescent="0.35">
      <c r="A8" s="2" t="s">
        <v>1561</v>
      </c>
      <c r="B8" s="2" t="s">
        <v>1586</v>
      </c>
      <c r="C8" s="2" t="s">
        <v>2043</v>
      </c>
      <c r="D8" s="2" t="s">
        <v>1498</v>
      </c>
      <c r="E8" s="2" t="s">
        <v>2029</v>
      </c>
      <c r="F8" s="2" t="s">
        <v>1532</v>
      </c>
      <c r="G8" s="2" t="s">
        <v>2224</v>
      </c>
      <c r="H8" s="2" t="s">
        <v>1323</v>
      </c>
      <c r="I8" s="2" t="s">
        <v>2402</v>
      </c>
      <c r="J8" s="2" t="str">
        <f t="shared" si="1"/>
        <v>6.905</v>
      </c>
      <c r="K8" s="2" t="str">
        <f t="shared" si="0"/>
        <v xml:space="preserve"> 55,409</v>
      </c>
      <c r="L8" s="2" t="str">
        <f t="shared" si="0"/>
        <v>0.872</v>
      </c>
      <c r="M8" s="2" t="str">
        <f t="shared" si="0"/>
        <v>70.900</v>
      </c>
      <c r="N8" s="2" t="str">
        <f t="shared" si="0"/>
        <v>0.841</v>
      </c>
      <c r="O8" s="2" t="str">
        <f t="shared" si="0"/>
        <v>0.582</v>
      </c>
      <c r="P8" s="2" t="str">
        <f t="shared" si="0"/>
        <v>0.518</v>
      </c>
      <c r="Q8" s="2" t="str">
        <f t="shared" si="0"/>
        <v>0.718</v>
      </c>
      <c r="R8" s="2" t="str">
        <f t="shared" si="0"/>
        <v>0.241</v>
      </c>
    </row>
    <row r="9" spans="1:18" x14ac:dyDescent="0.35">
      <c r="A9" s="2" t="s">
        <v>2411</v>
      </c>
      <c r="B9" s="2" t="s">
        <v>1898</v>
      </c>
      <c r="C9" s="2" t="s">
        <v>2322</v>
      </c>
      <c r="D9" s="2" t="s">
        <v>1750</v>
      </c>
      <c r="E9" s="2" t="s">
        <v>1972</v>
      </c>
      <c r="F9" s="2" t="s">
        <v>1811</v>
      </c>
      <c r="G9" s="2" t="s">
        <v>2326</v>
      </c>
      <c r="H9" s="2" t="s">
        <v>2182</v>
      </c>
      <c r="I9" s="2" t="s">
        <v>1990</v>
      </c>
      <c r="J9" s="2" t="str">
        <f t="shared" si="1"/>
        <v>4.893</v>
      </c>
      <c r="K9" s="2" t="str">
        <f t="shared" si="0"/>
        <v xml:space="preserve"> 15,181</v>
      </c>
      <c r="L9" s="2" t="str">
        <f t="shared" si="0"/>
        <v>0.692</v>
      </c>
      <c r="M9" s="2" t="str">
        <f t="shared" si="0"/>
        <v>63.600</v>
      </c>
      <c r="N9" s="2" t="str">
        <f t="shared" si="0"/>
        <v>0.816</v>
      </c>
      <c r="O9" s="2" t="str">
        <f t="shared" si="0"/>
        <v>0.278</v>
      </c>
      <c r="P9" s="2" t="str">
        <f t="shared" si="0"/>
        <v>0.662</v>
      </c>
      <c r="Q9" s="2" t="str">
        <f t="shared" si="0"/>
        <v>0.522</v>
      </c>
      <c r="R9" s="2" t="str">
        <f t="shared" si="0"/>
        <v>0.308</v>
      </c>
    </row>
    <row r="10" spans="1:18" x14ac:dyDescent="0.35">
      <c r="A10" s="2" t="s">
        <v>2184</v>
      </c>
      <c r="B10" s="2" t="s">
        <v>2378</v>
      </c>
      <c r="C10" s="2" t="s">
        <v>2088</v>
      </c>
      <c r="D10" s="2" t="s">
        <v>1809</v>
      </c>
      <c r="E10" s="2" t="s">
        <v>1466</v>
      </c>
      <c r="F10" s="2" t="s">
        <v>1802</v>
      </c>
      <c r="G10" s="2" t="s">
        <v>1712</v>
      </c>
      <c r="H10" s="2" t="s">
        <v>2109</v>
      </c>
      <c r="I10" s="2" t="s">
        <v>1610</v>
      </c>
      <c r="J10" s="2" t="str">
        <f t="shared" si="1"/>
        <v>3.886</v>
      </c>
      <c r="K10" s="2" t="str">
        <f t="shared" si="0"/>
        <v xml:space="preserve"> 6,228</v>
      </c>
      <c r="L10" s="2" t="str">
        <f t="shared" si="0"/>
        <v>0.448</v>
      </c>
      <c r="M10" s="2" t="str">
        <f t="shared" si="0"/>
        <v>64.300</v>
      </c>
      <c r="N10" s="2" t="str">
        <f t="shared" si="0"/>
        <v>0.894</v>
      </c>
      <c r="O10" s="2" t="str">
        <f t="shared" si="0"/>
        <v>0.276</v>
      </c>
      <c r="P10" s="2" t="str">
        <f t="shared" si="0"/>
        <v>0.705</v>
      </c>
      <c r="Q10" s="2" t="str">
        <f t="shared" si="0"/>
        <v>0.446</v>
      </c>
      <c r="R10" s="2" t="str">
        <f t="shared" si="0"/>
        <v>0.443</v>
      </c>
    </row>
    <row r="11" spans="1:18" x14ac:dyDescent="0.35">
      <c r="A11" s="2" t="s">
        <v>1545</v>
      </c>
      <c r="B11" s="2" t="s">
        <v>1546</v>
      </c>
      <c r="C11" s="2" t="s">
        <v>1473</v>
      </c>
      <c r="D11" s="2" t="s">
        <v>1465</v>
      </c>
      <c r="E11" s="2" t="s">
        <v>1343</v>
      </c>
      <c r="F11" s="2" t="s">
        <v>1410</v>
      </c>
      <c r="G11" s="2" t="s">
        <v>2215</v>
      </c>
      <c r="H11" s="2" t="s">
        <v>1289</v>
      </c>
      <c r="I11" s="2" t="s">
        <v>1705</v>
      </c>
      <c r="J11" s="2" t="str">
        <f t="shared" si="1"/>
        <v>6.894</v>
      </c>
      <c r="K11" s="2" t="str">
        <f t="shared" si="0"/>
        <v xml:space="preserve"> 52,743</v>
      </c>
      <c r="L11" s="2" t="str">
        <f t="shared" si="0"/>
        <v>0.912</v>
      </c>
      <c r="M11" s="2" t="str">
        <f t="shared" si="0"/>
        <v>70.600</v>
      </c>
      <c r="N11" s="2" t="str">
        <f t="shared" si="0"/>
        <v>0.860</v>
      </c>
      <c r="O11" s="2" t="str">
        <f t="shared" si="0"/>
        <v>0.492</v>
      </c>
      <c r="P11" s="2" t="str">
        <f t="shared" si="0"/>
        <v>0.510</v>
      </c>
      <c r="Q11" s="2" t="str">
        <f t="shared" si="0"/>
        <v>0.711</v>
      </c>
      <c r="R11" s="2" t="str">
        <f t="shared" si="0"/>
        <v>0.247</v>
      </c>
    </row>
    <row r="12" spans="1:18" x14ac:dyDescent="0.35">
      <c r="A12" s="2" t="s">
        <v>2289</v>
      </c>
      <c r="B12" s="2" t="s">
        <v>2252</v>
      </c>
      <c r="C12" s="2" t="s">
        <v>2079</v>
      </c>
      <c r="D12" s="2" t="s">
        <v>2212</v>
      </c>
      <c r="E12" s="2" t="s">
        <v>1692</v>
      </c>
      <c r="F12" s="2" t="s">
        <v>2247</v>
      </c>
      <c r="G12" s="2" t="s">
        <v>2264</v>
      </c>
      <c r="H12" s="2" t="s">
        <v>2344</v>
      </c>
      <c r="I12" s="2" t="s">
        <v>1584</v>
      </c>
      <c r="J12" s="2" t="str">
        <f t="shared" si="1"/>
        <v>4.377</v>
      </c>
      <c r="K12" s="2" t="str">
        <f t="shared" si="0"/>
        <v xml:space="preserve"> 3,434</v>
      </c>
      <c r="L12" s="2" t="str">
        <f t="shared" si="0"/>
        <v>0.400</v>
      </c>
      <c r="M12" s="2" t="str">
        <f t="shared" si="0"/>
        <v>55.500</v>
      </c>
      <c r="N12" s="2" t="str">
        <f t="shared" si="0"/>
        <v>0.743</v>
      </c>
      <c r="O12" s="2" t="str">
        <f t="shared" si="0"/>
        <v>0.175</v>
      </c>
      <c r="P12" s="2" t="str">
        <f t="shared" si="0"/>
        <v>0.590</v>
      </c>
      <c r="Q12" s="2" t="str">
        <f t="shared" si="0"/>
        <v>0.581</v>
      </c>
      <c r="R12" s="2" t="str">
        <f t="shared" si="0"/>
        <v>0.434</v>
      </c>
    </row>
    <row r="13" spans="1:18" x14ac:dyDescent="0.35">
      <c r="A13" s="2" t="s">
        <v>1872</v>
      </c>
      <c r="B13" s="2" t="s">
        <v>1681</v>
      </c>
      <c r="C13" s="2" t="s">
        <v>1808</v>
      </c>
      <c r="D13" s="2" t="s">
        <v>1743</v>
      </c>
      <c r="E13" s="2" t="s">
        <v>2067</v>
      </c>
      <c r="F13" s="2" t="s">
        <v>2382</v>
      </c>
      <c r="G13" s="2" t="s">
        <v>1428</v>
      </c>
      <c r="H13" s="2" t="s">
        <v>1469</v>
      </c>
      <c r="I13" s="2" t="s">
        <v>1544</v>
      </c>
      <c r="J13" s="2" t="str">
        <f t="shared" si="1"/>
        <v>5.784</v>
      </c>
      <c r="K13" s="2" t="str">
        <f t="shared" si="0"/>
        <v xml:space="preserve"> 8,185</v>
      </c>
      <c r="L13" s="2" t="str">
        <f t="shared" si="0"/>
        <v>0.810</v>
      </c>
      <c r="M13" s="2" t="str">
        <f t="shared" si="0"/>
        <v>63.300</v>
      </c>
      <c r="N13" s="2" t="str">
        <f t="shared" si="0"/>
        <v>0.854</v>
      </c>
      <c r="O13" s="2" t="str">
        <f t="shared" si="0"/>
        <v>0.211</v>
      </c>
      <c r="P13" s="2" t="str">
        <f t="shared" si="0"/>
        <v>0.851</v>
      </c>
      <c r="Q13" s="2" t="str">
        <f t="shared" si="0"/>
        <v>0.743</v>
      </c>
      <c r="R13" s="2" t="str">
        <f t="shared" si="0"/>
        <v>0.402</v>
      </c>
    </row>
    <row r="14" spans="1:18" x14ac:dyDescent="0.35">
      <c r="A14" s="2" t="s">
        <v>1938</v>
      </c>
      <c r="B14" s="2" t="s">
        <v>1948</v>
      </c>
      <c r="C14" s="2" t="s">
        <v>2002</v>
      </c>
      <c r="D14" s="2" t="s">
        <v>1294</v>
      </c>
      <c r="E14" s="2" t="s">
        <v>1832</v>
      </c>
      <c r="F14" s="2" t="s">
        <v>1499</v>
      </c>
      <c r="G14" s="2" t="s">
        <v>1677</v>
      </c>
      <c r="H14" s="2" t="s">
        <v>2336</v>
      </c>
      <c r="I14" s="2" t="s">
        <v>1862</v>
      </c>
      <c r="J14" s="2" t="str">
        <f t="shared" si="1"/>
        <v>5.877</v>
      </c>
      <c r="K14" s="2" t="str">
        <f t="shared" si="0"/>
        <v xml:space="preserve"> 16,629</v>
      </c>
      <c r="L14" s="2" t="str">
        <f t="shared" si="0"/>
        <v>0.865</v>
      </c>
      <c r="M14" s="2" t="str">
        <f t="shared" si="0"/>
        <v>67.200</v>
      </c>
      <c r="N14" s="2" t="str">
        <f t="shared" si="0"/>
        <v>0.782</v>
      </c>
      <c r="O14" s="2" t="str">
        <f t="shared" si="0"/>
        <v>0.563</v>
      </c>
      <c r="P14" s="2" t="str">
        <f t="shared" si="0"/>
        <v>0.934</v>
      </c>
      <c r="Q14" s="2" t="str">
        <f t="shared" si="0"/>
        <v>0.576</v>
      </c>
      <c r="R14" s="2" t="str">
        <f t="shared" si="0"/>
        <v>0.280</v>
      </c>
    </row>
    <row r="15" spans="1:18" x14ac:dyDescent="0.35">
      <c r="A15" s="2" t="s">
        <v>2120</v>
      </c>
      <c r="B15" s="2" t="s">
        <v>1939</v>
      </c>
      <c r="C15" s="2" t="s">
        <v>2379</v>
      </c>
      <c r="D15" s="2" t="s">
        <v>2140</v>
      </c>
      <c r="E15" s="2" t="s">
        <v>1684</v>
      </c>
      <c r="F15" s="2" t="s">
        <v>2107</v>
      </c>
      <c r="G15" s="2" t="s">
        <v>2053</v>
      </c>
      <c r="H15" s="2" t="s">
        <v>1763</v>
      </c>
      <c r="I15" s="2" t="s">
        <v>1805</v>
      </c>
      <c r="J15" s="2" t="str">
        <f t="shared" si="1"/>
        <v>3.383</v>
      </c>
      <c r="K15" s="2" t="str">
        <f t="shared" si="0"/>
        <v xml:space="preserve"> 15,702</v>
      </c>
      <c r="L15" s="2" t="str">
        <f t="shared" si="0"/>
        <v>0.728</v>
      </c>
      <c r="M15" s="2" t="str">
        <f t="shared" si="0"/>
        <v>53.900</v>
      </c>
      <c r="N15" s="2" t="str">
        <f t="shared" si="0"/>
        <v>0.743</v>
      </c>
      <c r="O15" s="2" t="str">
        <f t="shared" si="0"/>
        <v>0.083</v>
      </c>
      <c r="P15" s="2" t="str">
        <f t="shared" si="0"/>
        <v>0.822</v>
      </c>
      <c r="Q15" s="2" t="str">
        <f t="shared" si="0"/>
        <v>0.641</v>
      </c>
      <c r="R15" s="2" t="str">
        <f t="shared" si="0"/>
        <v>0.266</v>
      </c>
    </row>
    <row r="16" spans="1:18" x14ac:dyDescent="0.35">
      <c r="A16" s="2" t="s">
        <v>1317</v>
      </c>
      <c r="B16" s="2" t="s">
        <v>1890</v>
      </c>
      <c r="C16" s="2" t="s">
        <v>1932</v>
      </c>
      <c r="D16" s="2" t="s">
        <v>1883</v>
      </c>
      <c r="E16" s="2" t="s">
        <v>1995</v>
      </c>
      <c r="F16" s="2" t="s">
        <v>1902</v>
      </c>
      <c r="G16" s="2" t="s">
        <v>1778</v>
      </c>
      <c r="H16" s="2" t="s">
        <v>1945</v>
      </c>
      <c r="I16" s="2" t="s">
        <v>1388</v>
      </c>
      <c r="J16" s="2" t="str">
        <f t="shared" si="1"/>
        <v>6.272</v>
      </c>
      <c r="K16" s="2" t="str">
        <f t="shared" si="0"/>
        <v xml:space="preserve"> 15,035</v>
      </c>
      <c r="L16" s="2" t="str">
        <f t="shared" si="0"/>
        <v>0.845</v>
      </c>
      <c r="M16" s="2" t="str">
        <f t="shared" si="0"/>
        <v>65.400</v>
      </c>
      <c r="N16" s="2" t="str">
        <f t="shared" si="0"/>
        <v>0.829</v>
      </c>
      <c r="O16" s="2" t="str">
        <f t="shared" si="0"/>
        <v>0.318</v>
      </c>
      <c r="P16" s="2" t="str">
        <f t="shared" si="0"/>
        <v>0.739</v>
      </c>
      <c r="Q16" s="2" t="str">
        <f t="shared" si="0"/>
        <v>0.680</v>
      </c>
      <c r="R16" s="2" t="str">
        <f t="shared" si="0"/>
        <v>0.354</v>
      </c>
    </row>
    <row r="17" spans="1:18" x14ac:dyDescent="0.35">
      <c r="A17" s="2" t="s">
        <v>1806</v>
      </c>
      <c r="B17" s="2" t="s">
        <v>1283</v>
      </c>
      <c r="C17" s="2" t="s">
        <v>1538</v>
      </c>
      <c r="D17" s="2" t="s">
        <v>1977</v>
      </c>
      <c r="E17" s="2" t="s">
        <v>1824</v>
      </c>
      <c r="F17" s="2" t="s">
        <v>1777</v>
      </c>
      <c r="G17" s="2" t="s">
        <v>1668</v>
      </c>
      <c r="H17" s="2" t="s">
        <v>2384</v>
      </c>
      <c r="I17" s="2" t="s">
        <v>2250</v>
      </c>
      <c r="J17" s="2" t="str">
        <f t="shared" si="1"/>
        <v>5.463</v>
      </c>
      <c r="K17" s="2" t="str">
        <f t="shared" si="0"/>
        <v xml:space="preserve"> 26,639</v>
      </c>
      <c r="L17" s="2" t="str">
        <f t="shared" si="0"/>
        <v>0.923</v>
      </c>
      <c r="M17" s="2" t="str">
        <f t="shared" si="0"/>
        <v>66.300</v>
      </c>
      <c r="N17" s="2" t="str">
        <f t="shared" si="0"/>
        <v>0.782</v>
      </c>
      <c r="O17" s="2" t="str">
        <f t="shared" si="0"/>
        <v>0.264</v>
      </c>
      <c r="P17" s="2" t="str">
        <f t="shared" si="0"/>
        <v>0.925</v>
      </c>
      <c r="Q17" s="2" t="str">
        <f t="shared" si="0"/>
        <v>0.590</v>
      </c>
      <c r="R17" s="2" t="str">
        <f t="shared" si="0"/>
        <v>0.204</v>
      </c>
    </row>
    <row r="18" spans="1:18" x14ac:dyDescent="0.35">
      <c r="A18" s="2" t="s">
        <v>2337</v>
      </c>
      <c r="B18" s="2" t="s">
        <v>2169</v>
      </c>
      <c r="C18" s="2" t="s">
        <v>2220</v>
      </c>
      <c r="D18" s="2" t="s">
        <v>2203</v>
      </c>
      <c r="E18" s="2" t="s">
        <v>2254</v>
      </c>
      <c r="F18" s="2" t="s">
        <v>1785</v>
      </c>
      <c r="G18" s="2" t="s">
        <v>2383</v>
      </c>
      <c r="H18" s="2" t="s">
        <v>1739</v>
      </c>
      <c r="I18" s="2" t="s">
        <v>1371</v>
      </c>
      <c r="J18" s="2" t="str">
        <f t="shared" si="1"/>
        <v>4.548</v>
      </c>
      <c r="K18" s="2" t="str">
        <f t="shared" ref="K18:K81" si="2">MID(B18,FIND("(",B18)+1,LEN(B18)-FIND("(",B18)-1)</f>
        <v xml:space="preserve"> 2,186</v>
      </c>
      <c r="L18" s="2" t="str">
        <f t="shared" ref="L18:L81" si="3">MID(C18,FIND("(",C18)+1,LEN(C18)-FIND("(",C18)-1)</f>
        <v>0.618</v>
      </c>
      <c r="M18" s="2" t="str">
        <f t="shared" ref="M18:M81" si="4">MID(D18,FIND("(",D18)+1,LEN(D18)-FIND("(",D18)-1)</f>
        <v>54.900</v>
      </c>
      <c r="N18" s="2" t="str">
        <f t="shared" ref="N18:N81" si="5">MID(E18,FIND("(",E18)+1,LEN(E18)-FIND("(",E18)-1)</f>
        <v>0.682</v>
      </c>
      <c r="O18" s="2" t="str">
        <f t="shared" ref="O18:O81" si="6">MID(F18,FIND("(",F18)+1,LEN(F18)-FIND("(",F18)-1)</f>
        <v>0.270</v>
      </c>
      <c r="P18" s="2" t="str">
        <f t="shared" ref="P18:P81" si="7">MID(G18,FIND("(",G18)+1,LEN(G18)-FIND("(",G18)-1)</f>
        <v>0.690</v>
      </c>
      <c r="Q18" s="2" t="str">
        <f t="shared" ref="Q18:Q81" si="8">MID(H18,FIND("(",H18)+1,LEN(H18)-FIND("(",H18)-1)</f>
        <v>0.632</v>
      </c>
      <c r="R18" s="2" t="str">
        <f t="shared" ref="R18:R81" si="9">MID(I18,FIND("(",I18)+1,LEN(I18)-FIND("(",I18)-1)</f>
        <v>0.353</v>
      </c>
    </row>
    <row r="19" spans="1:18" x14ac:dyDescent="0.35">
      <c r="A19" s="2" t="s">
        <v>2267</v>
      </c>
      <c r="B19" s="2" t="s">
        <v>2296</v>
      </c>
      <c r="C19" s="2" t="s">
        <v>2432</v>
      </c>
      <c r="D19" s="2" t="s">
        <v>2414</v>
      </c>
      <c r="E19" s="2" t="s">
        <v>1675</v>
      </c>
      <c r="F19" s="2" t="s">
        <v>1894</v>
      </c>
      <c r="G19" s="2" t="s">
        <v>1369</v>
      </c>
      <c r="H19" s="2" t="s">
        <v>1412</v>
      </c>
      <c r="I19" s="2" t="s">
        <v>1495</v>
      </c>
      <c r="J19" s="2" t="str">
        <f t="shared" si="1"/>
        <v>4.341</v>
      </c>
      <c r="K19" s="2" t="str">
        <f t="shared" si="2"/>
        <v xml:space="preserve"> 4,538</v>
      </c>
      <c r="L19" s="2" t="str">
        <f t="shared" si="3"/>
        <v>0.748</v>
      </c>
      <c r="M19" s="2" t="str">
        <f t="shared" si="4"/>
        <v>61.500</v>
      </c>
      <c r="N19" s="2" t="str">
        <f t="shared" si="5"/>
        <v>0.958</v>
      </c>
      <c r="O19" s="2" t="str">
        <f t="shared" si="6"/>
        <v>0.318</v>
      </c>
      <c r="P19" s="2" t="str">
        <f t="shared" si="7"/>
        <v>0.837</v>
      </c>
      <c r="Q19" s="2" t="str">
        <f t="shared" si="8"/>
        <v>0.736</v>
      </c>
      <c r="R19" s="2" t="str">
        <f t="shared" si="9"/>
        <v>0.390</v>
      </c>
    </row>
    <row r="20" spans="1:18" x14ac:dyDescent="0.35">
      <c r="A20" s="2" t="s">
        <v>2386</v>
      </c>
      <c r="B20" s="2" t="s">
        <v>2268</v>
      </c>
      <c r="C20" s="2" t="s">
        <v>2314</v>
      </c>
      <c r="D20" s="2" t="s">
        <v>2170</v>
      </c>
      <c r="E20" s="2" t="s">
        <v>2333</v>
      </c>
      <c r="F20" s="2" t="s">
        <v>2373</v>
      </c>
      <c r="G20" s="2" t="s">
        <v>1437</v>
      </c>
      <c r="H20" s="2" t="s">
        <v>2401</v>
      </c>
      <c r="I20" s="2" t="s">
        <v>1380</v>
      </c>
      <c r="J20" s="2" t="str">
        <f t="shared" si="1"/>
        <v>4.874</v>
      </c>
      <c r="K20" s="2" t="str">
        <f t="shared" si="2"/>
        <v xml:space="preserve"> 3,738</v>
      </c>
      <c r="L20" s="2" t="str">
        <f t="shared" si="3"/>
        <v>0.684</v>
      </c>
      <c r="M20" s="2" t="str">
        <f t="shared" si="4"/>
        <v>54.500</v>
      </c>
      <c r="N20" s="2" t="str">
        <f t="shared" si="5"/>
        <v>0.710</v>
      </c>
      <c r="O20" s="2" t="str">
        <f t="shared" si="6"/>
        <v>0.210</v>
      </c>
      <c r="P20" s="2" t="str">
        <f t="shared" si="7"/>
        <v>0.851</v>
      </c>
      <c r="Q20" s="2" t="str">
        <f t="shared" si="8"/>
        <v>0.597</v>
      </c>
      <c r="R20" s="2" t="str">
        <f t="shared" si="9"/>
        <v>0.354</v>
      </c>
    </row>
    <row r="21" spans="1:18" x14ac:dyDescent="0.35">
      <c r="A21" s="2" t="s">
        <v>1554</v>
      </c>
      <c r="B21" s="2" t="s">
        <v>1504</v>
      </c>
      <c r="C21" s="2" t="s">
        <v>1513</v>
      </c>
      <c r="D21" s="2" t="s">
        <v>1548</v>
      </c>
      <c r="E21" s="2" t="s">
        <v>1360</v>
      </c>
      <c r="F21" s="2" t="s">
        <v>1581</v>
      </c>
      <c r="G21" s="2" t="s">
        <v>2173</v>
      </c>
      <c r="H21" s="2" t="s">
        <v>1429</v>
      </c>
      <c r="I21" s="2" t="s">
        <v>1929</v>
      </c>
      <c r="J21" s="2" t="str">
        <f t="shared" si="1"/>
        <v>6.900</v>
      </c>
      <c r="K21" s="2" t="str">
        <f t="shared" si="2"/>
        <v xml:space="preserve"> 48,637</v>
      </c>
      <c r="L21" s="2" t="str">
        <f t="shared" si="3"/>
        <v>0.919</v>
      </c>
      <c r="M21" s="2" t="str">
        <f t="shared" si="4"/>
        <v>71.300</v>
      </c>
      <c r="N21" s="2" t="str">
        <f t="shared" si="5"/>
        <v>0.861</v>
      </c>
      <c r="O21" s="2" t="str">
        <f t="shared" si="6"/>
        <v>0.606</v>
      </c>
      <c r="P21" s="2" t="str">
        <f t="shared" si="7"/>
        <v>0.432</v>
      </c>
      <c r="Q21" s="2" t="str">
        <f t="shared" si="8"/>
        <v>0.736</v>
      </c>
      <c r="R21" s="2" t="str">
        <f t="shared" si="9"/>
        <v>0.289</v>
      </c>
    </row>
    <row r="22" spans="1:18" x14ac:dyDescent="0.35">
      <c r="A22" s="2" t="s">
        <v>2312</v>
      </c>
      <c r="B22" s="2" t="s">
        <v>2095</v>
      </c>
      <c r="C22" s="2" t="s">
        <v>2269</v>
      </c>
      <c r="D22" s="2" t="s">
        <v>2097</v>
      </c>
      <c r="E22" s="2" t="s">
        <v>2171</v>
      </c>
      <c r="F22" s="2" t="s">
        <v>1943</v>
      </c>
      <c r="G22" s="2" t="s">
        <v>1958</v>
      </c>
      <c r="H22" s="2" t="s">
        <v>2302</v>
      </c>
      <c r="I22" s="2" t="s">
        <v>1661</v>
      </c>
      <c r="J22" s="2" t="str">
        <f t="shared" si="1"/>
        <v>4.471</v>
      </c>
      <c r="K22" s="2" t="str">
        <f t="shared" si="2"/>
        <v xml:space="preserve"> 1,413</v>
      </c>
      <c r="L22" s="2" t="str">
        <f t="shared" si="3"/>
        <v>0.665</v>
      </c>
      <c r="M22" s="2" t="str">
        <f t="shared" si="4"/>
        <v>52.000</v>
      </c>
      <c r="N22" s="2" t="str">
        <f t="shared" si="5"/>
        <v>0.630</v>
      </c>
      <c r="O22" s="2" t="str">
        <f t="shared" si="6"/>
        <v>0.330</v>
      </c>
      <c r="P22" s="2" t="str">
        <f t="shared" si="7"/>
        <v>0.780</v>
      </c>
      <c r="Q22" s="2" t="str">
        <f t="shared" si="8"/>
        <v>0.565</v>
      </c>
      <c r="R22" s="2" t="str">
        <f t="shared" si="9"/>
        <v>0.484</v>
      </c>
    </row>
    <row r="23" spans="1:18" x14ac:dyDescent="0.35">
      <c r="A23" s="2" t="s">
        <v>1363</v>
      </c>
      <c r="B23" s="2" t="s">
        <v>2057</v>
      </c>
      <c r="C23" s="2" t="s">
        <v>1358</v>
      </c>
      <c r="D23" s="2" t="s">
        <v>1434</v>
      </c>
      <c r="E23" s="2" t="s">
        <v>1942</v>
      </c>
      <c r="F23" s="2" t="s">
        <v>1926</v>
      </c>
      <c r="G23" s="2" t="s">
        <v>1322</v>
      </c>
      <c r="H23" s="2" t="s">
        <v>1534</v>
      </c>
      <c r="I23" s="2" t="s">
        <v>2441</v>
      </c>
      <c r="J23" s="2" t="str">
        <f t="shared" si="1"/>
        <v>6.360</v>
      </c>
      <c r="K23" s="2" t="str">
        <f t="shared" si="2"/>
        <v xml:space="preserve"> 25,671</v>
      </c>
      <c r="L23" s="2" t="str">
        <f t="shared" si="3"/>
        <v>0.884</v>
      </c>
      <c r="M23" s="2" t="str">
        <f t="shared" si="4"/>
        <v>70.000</v>
      </c>
      <c r="N23" s="2" t="str">
        <f t="shared" si="5"/>
        <v>0.804</v>
      </c>
      <c r="O23" s="2" t="str">
        <f t="shared" si="6"/>
        <v>0.328</v>
      </c>
      <c r="P23" s="2" t="str">
        <f t="shared" si="7"/>
        <v>0.831</v>
      </c>
      <c r="Q23" s="2" t="str">
        <f t="shared" si="8"/>
        <v>0.763</v>
      </c>
      <c r="R23" s="2" t="str">
        <f t="shared" si="9"/>
        <v>0.245</v>
      </c>
    </row>
    <row r="24" spans="1:18" x14ac:dyDescent="0.35">
      <c r="A24" s="2" t="s">
        <v>1829</v>
      </c>
      <c r="B24" s="2" t="s">
        <v>1916</v>
      </c>
      <c r="C24" s="2" t="s">
        <v>1891</v>
      </c>
      <c r="D24" s="2" t="s">
        <v>1392</v>
      </c>
      <c r="E24" s="2" t="s">
        <v>1901</v>
      </c>
      <c r="F24" s="2" t="s">
        <v>2309</v>
      </c>
      <c r="G24" s="2" t="s">
        <v>1443</v>
      </c>
      <c r="H24" s="2" t="s">
        <v>1501</v>
      </c>
      <c r="I24" s="2" t="s">
        <v>2007</v>
      </c>
      <c r="J24" s="2" t="str">
        <f t="shared" si="1"/>
        <v>5.695</v>
      </c>
      <c r="K24" s="2" t="str">
        <f t="shared" si="2"/>
        <v xml:space="preserve"> 15,356</v>
      </c>
      <c r="L24" s="2" t="str">
        <f t="shared" si="3"/>
        <v>0.834</v>
      </c>
      <c r="M24" s="2" t="str">
        <f t="shared" si="4"/>
        <v>69.000</v>
      </c>
      <c r="N24" s="2" t="str">
        <f t="shared" si="5"/>
        <v>0.799</v>
      </c>
      <c r="O24" s="2" t="str">
        <f t="shared" si="6"/>
        <v>0.198</v>
      </c>
      <c r="P24" s="2" t="str">
        <f t="shared" si="7"/>
        <v>0.854</v>
      </c>
      <c r="Q24" s="2" t="str">
        <f t="shared" si="8"/>
        <v>0.758</v>
      </c>
      <c r="R24" s="2" t="str">
        <f t="shared" si="9"/>
        <v>0.312</v>
      </c>
    </row>
    <row r="25" spans="1:18" x14ac:dyDescent="0.35">
      <c r="A25" s="2" t="s">
        <v>2160</v>
      </c>
      <c r="B25" s="2" t="s">
        <v>2235</v>
      </c>
      <c r="C25" s="2" t="s">
        <v>2096</v>
      </c>
      <c r="D25" s="2" t="s">
        <v>2340</v>
      </c>
      <c r="E25" s="2" t="s">
        <v>2081</v>
      </c>
      <c r="F25" s="2" t="s">
        <v>2364</v>
      </c>
      <c r="G25" s="2" t="s">
        <v>1746</v>
      </c>
      <c r="H25" s="2" t="s">
        <v>2318</v>
      </c>
      <c r="I25" s="2" t="s">
        <v>1461</v>
      </c>
      <c r="J25" s="2" t="str">
        <f t="shared" si="1"/>
        <v>3.566</v>
      </c>
      <c r="K25" s="2" t="str">
        <f t="shared" si="2"/>
        <v xml:space="preserve"> 3,261</v>
      </c>
      <c r="L25" s="2" t="str">
        <f t="shared" si="3"/>
        <v>0.478</v>
      </c>
      <c r="M25" s="2" t="str">
        <f t="shared" si="4"/>
        <v>58.900</v>
      </c>
      <c r="N25" s="2" t="str">
        <f t="shared" si="5"/>
        <v>0.456</v>
      </c>
      <c r="O25" s="2" t="str">
        <f t="shared" si="6"/>
        <v>0.210</v>
      </c>
      <c r="P25" s="2" t="str">
        <f t="shared" si="7"/>
        <v>0.716</v>
      </c>
      <c r="Q25" s="2" t="str">
        <f t="shared" si="8"/>
        <v>0.568</v>
      </c>
      <c r="R25" s="2" t="str">
        <f t="shared" si="9"/>
        <v>0.378</v>
      </c>
    </row>
    <row r="26" spans="1:18" x14ac:dyDescent="0.35">
      <c r="A26" s="2" t="s">
        <v>2442</v>
      </c>
      <c r="B26" s="2" t="s">
        <v>2443</v>
      </c>
      <c r="C26" s="2" t="s">
        <v>2444</v>
      </c>
      <c r="D26" s="2" t="s">
        <v>2445</v>
      </c>
      <c r="E26" s="2" t="s">
        <v>2446</v>
      </c>
      <c r="F26" s="2" t="s">
        <v>2447</v>
      </c>
      <c r="G26" s="2" t="s">
        <v>2448</v>
      </c>
      <c r="H26" s="2" t="s">
        <v>2449</v>
      </c>
      <c r="I26" s="2" t="s">
        <v>2450</v>
      </c>
      <c r="J26" s="2" t="str">
        <f t="shared" si="1"/>
        <v>5.221</v>
      </c>
      <c r="K26" s="2" t="str">
        <f t="shared" si="2"/>
        <v xml:space="preserve"> 3,231</v>
      </c>
      <c r="L26" s="2" t="str">
        <f t="shared" si="3"/>
        <v>0.593</v>
      </c>
      <c r="M26" s="2" t="str">
        <f t="shared" si="4"/>
        <v>56.200</v>
      </c>
      <c r="N26" s="2" t="str">
        <f t="shared" si="5"/>
        <v>0.711</v>
      </c>
      <c r="O26" s="2" t="str">
        <f t="shared" si="6"/>
        <v>0.193</v>
      </c>
      <c r="P26" s="2" t="str">
        <f t="shared" si="7"/>
        <v>0.746</v>
      </c>
      <c r="Q26" s="2" t="str">
        <f t="shared" si="8"/>
        <v>0.581</v>
      </c>
      <c r="R26" s="2" t="str">
        <f t="shared" si="9"/>
        <v>0.434</v>
      </c>
    </row>
    <row r="27" spans="1:18" x14ac:dyDescent="0.35">
      <c r="A27" s="2" t="s">
        <v>2451</v>
      </c>
      <c r="B27" s="2" t="s">
        <v>2452</v>
      </c>
      <c r="C27" s="2" t="s">
        <v>2453</v>
      </c>
      <c r="D27" s="2" t="s">
        <v>2454</v>
      </c>
      <c r="E27" s="2" t="s">
        <v>2455</v>
      </c>
      <c r="F27" s="2" t="s">
        <v>2456</v>
      </c>
      <c r="G27" s="2" t="s">
        <v>2457</v>
      </c>
      <c r="H27" s="2" t="s">
        <v>2458</v>
      </c>
      <c r="I27" s="2" t="s">
        <v>2459</v>
      </c>
      <c r="J27" s="2" t="str">
        <f t="shared" si="1"/>
        <v>3.295</v>
      </c>
      <c r="K27" s="2" t="str">
        <f t="shared" si="2"/>
        <v xml:space="preserve"> 1,158</v>
      </c>
      <c r="L27" s="2" t="str">
        <f t="shared" si="3"/>
        <v>0.610</v>
      </c>
      <c r="M27" s="2" t="str">
        <f t="shared" si="4"/>
        <v>54.100</v>
      </c>
      <c r="N27" s="2" t="str">
        <f t="shared" si="5"/>
        <v>0.674</v>
      </c>
      <c r="O27" s="2" t="str">
        <f t="shared" si="6"/>
        <v>0.252</v>
      </c>
      <c r="P27" s="2" t="str">
        <f t="shared" si="7"/>
        <v>0.835</v>
      </c>
      <c r="Q27" s="2" t="str">
        <f t="shared" si="8"/>
        <v>0.554</v>
      </c>
      <c r="R27" s="2" t="str">
        <f t="shared" si="9"/>
        <v>0.477</v>
      </c>
    </row>
    <row r="28" spans="1:18" x14ac:dyDescent="0.35">
      <c r="A28" s="2" t="s">
        <v>1576</v>
      </c>
      <c r="B28" s="2" t="s">
        <v>2017</v>
      </c>
      <c r="C28" s="2" t="s">
        <v>1374</v>
      </c>
      <c r="D28" s="2" t="s">
        <v>1425</v>
      </c>
      <c r="E28" s="2" t="s">
        <v>1540</v>
      </c>
      <c r="F28" s="2" t="s">
        <v>1842</v>
      </c>
      <c r="G28" s="2" t="s">
        <v>1869</v>
      </c>
      <c r="H28" s="2" t="s">
        <v>1609</v>
      </c>
      <c r="I28" s="2" t="s">
        <v>1937</v>
      </c>
      <c r="J28" s="2" t="str">
        <f t="shared" si="1"/>
        <v>6.955</v>
      </c>
      <c r="K28" s="2" t="str">
        <f t="shared" si="2"/>
        <v xml:space="preserve"> 21,882</v>
      </c>
      <c r="L28" s="2" t="str">
        <f t="shared" si="3"/>
        <v>0.886</v>
      </c>
      <c r="M28" s="2" t="str">
        <f t="shared" si="4"/>
        <v>70.000</v>
      </c>
      <c r="N28" s="2" t="str">
        <f t="shared" si="5"/>
        <v>0.909</v>
      </c>
      <c r="O28" s="2" t="str">
        <f t="shared" si="6"/>
        <v>0.299</v>
      </c>
      <c r="P28" s="2" t="str">
        <f t="shared" si="7"/>
        <v>0.766</v>
      </c>
      <c r="Q28" s="2" t="str">
        <f t="shared" si="8"/>
        <v>0.792</v>
      </c>
      <c r="R28" s="2" t="str">
        <f t="shared" si="9"/>
        <v>0.290</v>
      </c>
    </row>
    <row r="29" spans="1:18" x14ac:dyDescent="0.35">
      <c r="A29" s="2" t="s">
        <v>1953</v>
      </c>
      <c r="B29" s="2" t="s">
        <v>1357</v>
      </c>
      <c r="C29" s="2" t="s">
        <v>1489</v>
      </c>
      <c r="D29" s="2" t="s">
        <v>1359</v>
      </c>
      <c r="E29" s="2" t="s">
        <v>2230</v>
      </c>
      <c r="F29" s="2" t="s">
        <v>1685</v>
      </c>
      <c r="G29" s="2" t="s">
        <v>1533</v>
      </c>
      <c r="H29" s="2" t="s">
        <v>2435</v>
      </c>
      <c r="I29" s="2" t="s">
        <v>1740</v>
      </c>
      <c r="J29" s="2" t="str">
        <f t="shared" si="1"/>
        <v>5.942</v>
      </c>
      <c r="K29" s="2" t="str">
        <f t="shared" si="2"/>
        <v xml:space="preserve"> 33,562</v>
      </c>
      <c r="L29" s="2" t="str">
        <f t="shared" si="3"/>
        <v>0.914</v>
      </c>
      <c r="M29" s="2" t="str">
        <f t="shared" si="4"/>
        <v>68.600</v>
      </c>
      <c r="N29" s="2" t="str">
        <f t="shared" si="5"/>
        <v>0.672</v>
      </c>
      <c r="O29" s="2" t="str">
        <f t="shared" si="6"/>
        <v>0.240</v>
      </c>
      <c r="P29" s="2" t="str">
        <f t="shared" si="7"/>
        <v>0.875</v>
      </c>
      <c r="Q29" s="2" t="str">
        <f t="shared" si="8"/>
        <v>0.610</v>
      </c>
      <c r="R29" s="2" t="str">
        <f t="shared" si="9"/>
        <v>0.255</v>
      </c>
    </row>
    <row r="30" spans="1:18" x14ac:dyDescent="0.35">
      <c r="A30" s="2" t="s">
        <v>2056</v>
      </c>
      <c r="B30" s="2" t="s">
        <v>1439</v>
      </c>
      <c r="C30" s="2" t="s">
        <v>1865</v>
      </c>
      <c r="D30" s="2" t="s">
        <v>1631</v>
      </c>
      <c r="E30" s="2" t="s">
        <v>2363</v>
      </c>
      <c r="F30" s="2" t="s">
        <v>1296</v>
      </c>
      <c r="G30" s="2" t="s">
        <v>1493</v>
      </c>
      <c r="H30" s="2" t="s">
        <v>1861</v>
      </c>
      <c r="I30" s="2" t="s">
        <v>1946</v>
      </c>
      <c r="J30" s="2" t="str">
        <f t="shared" si="1"/>
        <v>6.068</v>
      </c>
      <c r="K30" s="2" t="str">
        <f t="shared" si="2"/>
        <v xml:space="preserve"> 42,647</v>
      </c>
      <c r="L30" s="2" t="str">
        <f t="shared" si="3"/>
        <v>0.825</v>
      </c>
      <c r="M30" s="2" t="str">
        <f t="shared" si="4"/>
        <v>72.400</v>
      </c>
      <c r="N30" s="2" t="str">
        <f t="shared" si="5"/>
        <v>0.715</v>
      </c>
      <c r="O30" s="2" t="str">
        <f t="shared" si="6"/>
        <v>0.389</v>
      </c>
      <c r="P30" s="2" t="str">
        <f t="shared" si="7"/>
        <v>0.867</v>
      </c>
      <c r="Q30" s="2" t="str">
        <f t="shared" si="8"/>
        <v>0.661</v>
      </c>
      <c r="R30" s="2" t="str">
        <f t="shared" si="9"/>
        <v>0.291</v>
      </c>
    </row>
    <row r="31" spans="1:18" x14ac:dyDescent="0.35">
      <c r="A31" s="2" t="s">
        <v>1528</v>
      </c>
      <c r="B31" s="2" t="s">
        <v>1415</v>
      </c>
      <c r="C31" s="2" t="s">
        <v>1596</v>
      </c>
      <c r="D31" s="2" t="s">
        <v>1384</v>
      </c>
      <c r="E31" s="2" t="s">
        <v>1491</v>
      </c>
      <c r="F31" s="2" t="s">
        <v>1401</v>
      </c>
      <c r="G31" s="2" t="s">
        <v>1394</v>
      </c>
      <c r="H31" s="2" t="s">
        <v>1421</v>
      </c>
      <c r="I31" s="2" t="s">
        <v>1688</v>
      </c>
      <c r="J31" s="2" t="str">
        <f t="shared" si="1"/>
        <v>6.822</v>
      </c>
      <c r="K31" s="2" t="str">
        <f t="shared" si="2"/>
        <v xml:space="preserve"> 41,371</v>
      </c>
      <c r="L31" s="2" t="str">
        <f t="shared" si="3"/>
        <v>0.940</v>
      </c>
      <c r="M31" s="2" t="str">
        <f t="shared" si="4"/>
        <v>68.800</v>
      </c>
      <c r="N31" s="2" t="str">
        <f t="shared" si="5"/>
        <v>0.902</v>
      </c>
      <c r="O31" s="2" t="str">
        <f t="shared" si="6"/>
        <v>0.486</v>
      </c>
      <c r="P31" s="2" t="str">
        <f t="shared" si="7"/>
        <v>0.841</v>
      </c>
      <c r="Q31" s="2" t="str">
        <f t="shared" si="8"/>
        <v>0.736</v>
      </c>
      <c r="R31" s="2" t="str">
        <f t="shared" si="9"/>
        <v>0.246</v>
      </c>
    </row>
    <row r="32" spans="1:18" x14ac:dyDescent="0.35">
      <c r="A32" s="2" t="s">
        <v>1662</v>
      </c>
      <c r="B32" s="2" t="s">
        <v>1604</v>
      </c>
      <c r="C32" s="2" t="s">
        <v>1621</v>
      </c>
      <c r="D32" s="2" t="s">
        <v>1514</v>
      </c>
      <c r="E32" s="2" t="s">
        <v>1589</v>
      </c>
      <c r="F32" s="2" t="s">
        <v>1508</v>
      </c>
      <c r="G32" s="2" t="s">
        <v>2083</v>
      </c>
      <c r="H32" s="2" t="s">
        <v>1575</v>
      </c>
      <c r="I32" s="2" t="s">
        <v>2288</v>
      </c>
      <c r="J32" s="2" t="str">
        <f t="shared" si="1"/>
        <v>7.583</v>
      </c>
      <c r="K32" s="2" t="str">
        <f t="shared" si="2"/>
        <v xml:space="preserve"> 59,100</v>
      </c>
      <c r="L32" s="2" t="str">
        <f t="shared" si="3"/>
        <v>0.944</v>
      </c>
      <c r="M32" s="2" t="str">
        <f t="shared" si="4"/>
        <v>71.000</v>
      </c>
      <c r="N32" s="2" t="str">
        <f t="shared" si="5"/>
        <v>0.928</v>
      </c>
      <c r="O32" s="2" t="str">
        <f t="shared" si="6"/>
        <v>0.566</v>
      </c>
      <c r="P32" s="2" t="str">
        <f t="shared" si="7"/>
        <v>0.186</v>
      </c>
      <c r="Q32" s="2" t="str">
        <f t="shared" si="8"/>
        <v>0.778</v>
      </c>
      <c r="R32" s="2" t="str">
        <f t="shared" si="9"/>
        <v>0.214</v>
      </c>
    </row>
    <row r="33" spans="1:18" x14ac:dyDescent="0.35">
      <c r="A33" s="2" t="s">
        <v>1906</v>
      </c>
      <c r="B33" s="2" t="s">
        <v>1984</v>
      </c>
      <c r="C33" s="2" t="s">
        <v>1940</v>
      </c>
      <c r="D33" s="2" t="s">
        <v>1775</v>
      </c>
      <c r="E33" s="2" t="s">
        <v>1352</v>
      </c>
      <c r="F33" s="2" t="s">
        <v>1702</v>
      </c>
      <c r="G33" s="2" t="s">
        <v>2351</v>
      </c>
      <c r="H33" s="2" t="s">
        <v>1370</v>
      </c>
      <c r="I33" s="2" t="s">
        <v>1880</v>
      </c>
      <c r="J33" s="2" t="str">
        <f t="shared" si="1"/>
        <v>5.823</v>
      </c>
      <c r="K33" s="2" t="str">
        <f t="shared" si="2"/>
        <v xml:space="preserve"> 19,295</v>
      </c>
      <c r="L33" s="2" t="str">
        <f t="shared" si="3"/>
        <v>0.846</v>
      </c>
      <c r="M33" s="2" t="str">
        <f t="shared" si="4"/>
        <v>64.000</v>
      </c>
      <c r="N33" s="2" t="str">
        <f t="shared" si="5"/>
        <v>0.861</v>
      </c>
      <c r="O33" s="2" t="str">
        <f t="shared" si="6"/>
        <v>0.245</v>
      </c>
      <c r="P33" s="2" t="str">
        <f t="shared" si="7"/>
        <v>0.667</v>
      </c>
      <c r="Q33" s="2" t="str">
        <f t="shared" si="8"/>
        <v>0.732</v>
      </c>
      <c r="R33" s="2" t="str">
        <f t="shared" si="9"/>
        <v>0.280</v>
      </c>
    </row>
    <row r="34" spans="1:18" x14ac:dyDescent="0.35">
      <c r="A34" s="2" t="s">
        <v>1863</v>
      </c>
      <c r="B34" s="2" t="s">
        <v>1765</v>
      </c>
      <c r="C34" s="2" t="s">
        <v>1742</v>
      </c>
      <c r="D34" s="2" t="s">
        <v>1342</v>
      </c>
      <c r="E34" s="2" t="s">
        <v>1784</v>
      </c>
      <c r="F34" s="2" t="s">
        <v>2350</v>
      </c>
      <c r="G34" s="2" t="s">
        <v>1306</v>
      </c>
      <c r="H34" s="2" t="s">
        <v>1517</v>
      </c>
      <c r="I34" s="2" t="s">
        <v>1444</v>
      </c>
      <c r="J34" s="2" t="str">
        <f t="shared" si="1"/>
        <v>5.725</v>
      </c>
      <c r="K34" s="2" t="str">
        <f t="shared" si="2"/>
        <v xml:space="preserve"> 10,847</v>
      </c>
      <c r="L34" s="2" t="str">
        <f t="shared" si="3"/>
        <v>0.799</v>
      </c>
      <c r="M34" s="2" t="str">
        <f t="shared" si="4"/>
        <v>68.500</v>
      </c>
      <c r="N34" s="2" t="str">
        <f t="shared" si="5"/>
        <v>0.771</v>
      </c>
      <c r="O34" s="2" t="str">
        <f t="shared" si="6"/>
        <v>0.204</v>
      </c>
      <c r="P34" s="2" t="str">
        <f t="shared" si="7"/>
        <v>0.827</v>
      </c>
      <c r="Q34" s="2" t="str">
        <f t="shared" si="8"/>
        <v>0.761</v>
      </c>
      <c r="R34" s="2" t="str">
        <f t="shared" si="9"/>
        <v>0.371</v>
      </c>
    </row>
    <row r="35" spans="1:18" x14ac:dyDescent="0.35">
      <c r="A35" s="2" t="s">
        <v>2200</v>
      </c>
      <c r="B35" s="2" t="s">
        <v>1830</v>
      </c>
      <c r="C35" s="2" t="s">
        <v>2420</v>
      </c>
      <c r="D35" s="2" t="s">
        <v>1736</v>
      </c>
      <c r="E35" s="2" t="s">
        <v>2279</v>
      </c>
      <c r="F35" s="2" t="s">
        <v>2125</v>
      </c>
      <c r="G35" s="2" t="s">
        <v>2240</v>
      </c>
      <c r="H35" s="2" t="s">
        <v>2101</v>
      </c>
      <c r="I35" s="2" t="s">
        <v>1290</v>
      </c>
      <c r="J35" s="2" t="str">
        <f t="shared" si="1"/>
        <v>3.977</v>
      </c>
      <c r="K35" s="2" t="str">
        <f t="shared" si="2"/>
        <v xml:space="preserve"> 12,679</v>
      </c>
      <c r="L35" s="2" t="str">
        <f t="shared" si="3"/>
        <v>0.739</v>
      </c>
      <c r="M35" s="2" t="str">
        <f t="shared" si="4"/>
        <v>63.000</v>
      </c>
      <c r="N35" s="2" t="str">
        <f t="shared" si="5"/>
        <v>0.687</v>
      </c>
      <c r="O35" s="2" t="str">
        <f t="shared" si="6"/>
        <v>0.089</v>
      </c>
      <c r="P35" s="2" t="str">
        <f t="shared" si="7"/>
        <v>0.580</v>
      </c>
      <c r="Q35" s="2" t="str">
        <f t="shared" si="8"/>
        <v>0.437</v>
      </c>
      <c r="R35" s="2" t="str">
        <f t="shared" si="9"/>
        <v>0.327</v>
      </c>
    </row>
    <row r="36" spans="1:18" x14ac:dyDescent="0.35">
      <c r="A36" s="2" t="s">
        <v>1405</v>
      </c>
      <c r="B36" s="2" t="s">
        <v>1734</v>
      </c>
      <c r="C36" s="2" t="s">
        <v>1699</v>
      </c>
      <c r="D36" s="2" t="s">
        <v>1848</v>
      </c>
      <c r="E36" s="2" t="s">
        <v>1572</v>
      </c>
      <c r="F36" s="2" t="s">
        <v>2263</v>
      </c>
      <c r="G36" s="2" t="s">
        <v>2256</v>
      </c>
      <c r="H36" s="2" t="s">
        <v>1660</v>
      </c>
      <c r="I36" s="2" t="s">
        <v>1960</v>
      </c>
      <c r="J36" s="2" t="str">
        <f t="shared" si="1"/>
        <v>6.469</v>
      </c>
      <c r="K36" s="2" t="str">
        <f t="shared" si="2"/>
        <v xml:space="preserve"> 9,391</v>
      </c>
      <c r="L36" s="2" t="str">
        <f t="shared" si="3"/>
        <v>0.772</v>
      </c>
      <c r="M36" s="2" t="str">
        <f t="shared" si="4"/>
        <v>64.900</v>
      </c>
      <c r="N36" s="2" t="str">
        <f t="shared" si="5"/>
        <v>0.924</v>
      </c>
      <c r="O36" s="2" t="str">
        <f t="shared" si="6"/>
        <v>0.182</v>
      </c>
      <c r="P36" s="2" t="str">
        <f t="shared" si="7"/>
        <v>0.589</v>
      </c>
      <c r="Q36" s="2" t="str">
        <f t="shared" si="8"/>
        <v>0.824</v>
      </c>
      <c r="R36" s="2" t="str">
        <f t="shared" si="9"/>
        <v>0.301</v>
      </c>
    </row>
    <row r="37" spans="1:18" x14ac:dyDescent="0.35">
      <c r="A37" s="2" t="s">
        <v>1396</v>
      </c>
      <c r="B37" s="2" t="s">
        <v>1390</v>
      </c>
      <c r="C37" s="2" t="s">
        <v>1638</v>
      </c>
      <c r="D37" s="2" t="s">
        <v>1408</v>
      </c>
      <c r="E37" s="2" t="s">
        <v>1557</v>
      </c>
      <c r="F37" s="2" t="s">
        <v>1368</v>
      </c>
      <c r="G37" s="2" t="s">
        <v>2157</v>
      </c>
      <c r="H37" s="2" t="s">
        <v>1552</v>
      </c>
      <c r="I37" s="2" t="s">
        <v>2152</v>
      </c>
      <c r="J37" s="2" t="str">
        <f t="shared" si="1"/>
        <v>6.448</v>
      </c>
      <c r="K37" s="2" t="str">
        <f t="shared" si="2"/>
        <v xml:space="preserve"> 37,822</v>
      </c>
      <c r="L37" s="2" t="str">
        <f t="shared" si="3"/>
        <v>0.946</v>
      </c>
      <c r="M37" s="2" t="str">
        <f t="shared" si="4"/>
        <v>69.200</v>
      </c>
      <c r="N37" s="2" t="str">
        <f t="shared" si="5"/>
        <v>0.916</v>
      </c>
      <c r="O37" s="2" t="str">
        <f t="shared" si="6"/>
        <v>0.458</v>
      </c>
      <c r="P37" s="2" t="str">
        <f t="shared" si="7"/>
        <v>0.386</v>
      </c>
      <c r="Q37" s="2" t="str">
        <f t="shared" si="8"/>
        <v>0.765</v>
      </c>
      <c r="R37" s="2" t="str">
        <f t="shared" si="9"/>
        <v>0.182</v>
      </c>
    </row>
    <row r="38" spans="1:18" x14ac:dyDescent="0.35">
      <c r="A38" s="2" t="s">
        <v>2137</v>
      </c>
      <c r="B38" s="2" t="s">
        <v>1707</v>
      </c>
      <c r="C38" s="2" t="s">
        <v>2361</v>
      </c>
      <c r="D38" s="2" t="s">
        <v>2080</v>
      </c>
      <c r="E38" s="2" t="s">
        <v>2132</v>
      </c>
      <c r="F38" s="2" t="s">
        <v>2156</v>
      </c>
      <c r="G38" s="2" t="s">
        <v>1920</v>
      </c>
      <c r="H38" s="2" t="s">
        <v>1879</v>
      </c>
      <c r="I38" s="2" t="s">
        <v>1518</v>
      </c>
      <c r="J38" s="2" t="str">
        <f t="shared" si="1"/>
        <v>3.502</v>
      </c>
      <c r="K38" s="2" t="str">
        <f t="shared" si="2"/>
        <v xml:space="preserve"> 9,132</v>
      </c>
      <c r="L38" s="2" t="str">
        <f t="shared" si="3"/>
        <v>0.711</v>
      </c>
      <c r="M38" s="2" t="str">
        <f t="shared" si="4"/>
        <v>50.100</v>
      </c>
      <c r="N38" s="2" t="str">
        <f t="shared" si="5"/>
        <v>0.538</v>
      </c>
      <c r="O38" s="2" t="str">
        <f t="shared" si="6"/>
        <v>0.137</v>
      </c>
      <c r="P38" s="2" t="str">
        <f t="shared" si="7"/>
        <v>0.776</v>
      </c>
      <c r="Q38" s="2" t="str">
        <f t="shared" si="8"/>
        <v>0.662</v>
      </c>
      <c r="R38" s="2" t="str">
        <f t="shared" si="9"/>
        <v>0.395</v>
      </c>
    </row>
    <row r="39" spans="1:18" x14ac:dyDescent="0.35">
      <c r="A39" s="2" t="s">
        <v>2176</v>
      </c>
      <c r="B39" s="2" t="s">
        <v>2201</v>
      </c>
      <c r="C39" s="2" t="s">
        <v>2348</v>
      </c>
      <c r="D39" s="2" t="s">
        <v>2362</v>
      </c>
      <c r="E39" s="2" t="s">
        <v>2187</v>
      </c>
      <c r="F39" s="2" t="s">
        <v>1385</v>
      </c>
      <c r="G39" s="2" t="s">
        <v>1980</v>
      </c>
      <c r="H39" s="2" t="s">
        <v>2265</v>
      </c>
      <c r="I39" s="2" t="s">
        <v>2015</v>
      </c>
      <c r="J39" s="2" t="str">
        <f t="shared" si="1"/>
        <v>3.861</v>
      </c>
      <c r="K39" s="2" t="str">
        <f t="shared" si="2"/>
        <v xml:space="preserve"> 2,422</v>
      </c>
      <c r="L39" s="2" t="str">
        <f t="shared" si="3"/>
        <v>0.707</v>
      </c>
      <c r="M39" s="2" t="str">
        <f t="shared" si="4"/>
        <v>59.900</v>
      </c>
      <c r="N39" s="2" t="str">
        <f t="shared" si="5"/>
        <v>0.651</v>
      </c>
      <c r="O39" s="2" t="str">
        <f t="shared" si="6"/>
        <v>0.474</v>
      </c>
      <c r="P39" s="2" t="str">
        <f t="shared" si="7"/>
        <v>0.796</v>
      </c>
      <c r="Q39" s="2" t="str">
        <f t="shared" si="8"/>
        <v>0.551</v>
      </c>
      <c r="R39" s="2" t="str">
        <f t="shared" si="9"/>
        <v>0.315</v>
      </c>
    </row>
    <row r="40" spans="1:18" x14ac:dyDescent="0.35">
      <c r="A40" s="2" t="s">
        <v>1671</v>
      </c>
      <c r="B40" s="2" t="s">
        <v>1520</v>
      </c>
      <c r="C40" s="2" t="s">
        <v>1664</v>
      </c>
      <c r="D40" s="2" t="s">
        <v>1522</v>
      </c>
      <c r="E40" s="2" t="s">
        <v>1666</v>
      </c>
      <c r="F40" s="2" t="s">
        <v>1328</v>
      </c>
      <c r="G40" s="2" t="s">
        <v>2092</v>
      </c>
      <c r="H40" s="2" t="s">
        <v>1438</v>
      </c>
      <c r="I40" s="2" t="s">
        <v>2145</v>
      </c>
      <c r="J40" s="2" t="str">
        <f t="shared" si="1"/>
        <v>7.741</v>
      </c>
      <c r="K40" s="2" t="str">
        <f t="shared" si="2"/>
        <v xml:space="preserve"> 49,244</v>
      </c>
      <c r="L40" s="2" t="str">
        <f t="shared" si="3"/>
        <v>0.964</v>
      </c>
      <c r="M40" s="2" t="str">
        <f t="shared" si="4"/>
        <v>71.000</v>
      </c>
      <c r="N40" s="2" t="str">
        <f t="shared" si="5"/>
        <v>0.955</v>
      </c>
      <c r="O40" s="2" t="str">
        <f t="shared" si="6"/>
        <v>0.425</v>
      </c>
      <c r="P40" s="2" t="str">
        <f t="shared" si="7"/>
        <v>0.189</v>
      </c>
      <c r="Q40" s="2" t="str">
        <f t="shared" si="8"/>
        <v>0.736</v>
      </c>
      <c r="R40" s="2" t="str">
        <f t="shared" si="9"/>
        <v>0.180</v>
      </c>
    </row>
    <row r="41" spans="1:18" x14ac:dyDescent="0.35">
      <c r="A41" s="2" t="s">
        <v>1453</v>
      </c>
      <c r="B41" s="2" t="s">
        <v>1480</v>
      </c>
      <c r="C41" s="2" t="s">
        <v>1284</v>
      </c>
      <c r="D41" s="2" t="s">
        <v>1622</v>
      </c>
      <c r="E41" s="2" t="s">
        <v>1925</v>
      </c>
      <c r="F41" s="2" t="s">
        <v>2021</v>
      </c>
      <c r="G41" s="2" t="s">
        <v>2232</v>
      </c>
      <c r="H41" s="2" t="s">
        <v>1952</v>
      </c>
      <c r="I41" s="2" t="s">
        <v>1723</v>
      </c>
      <c r="J41" s="2" t="str">
        <f t="shared" si="1"/>
        <v>6.609</v>
      </c>
      <c r="K41" s="2" t="str">
        <f t="shared" si="2"/>
        <v xml:space="preserve"> 45,750</v>
      </c>
      <c r="L41" s="2" t="str">
        <f t="shared" si="3"/>
        <v>0.876</v>
      </c>
      <c r="M41" s="2" t="str">
        <f t="shared" si="4"/>
        <v>72.100</v>
      </c>
      <c r="N41" s="2" t="str">
        <f t="shared" si="5"/>
        <v>0.803</v>
      </c>
      <c r="O41" s="2" t="str">
        <f t="shared" si="6"/>
        <v>0.360</v>
      </c>
      <c r="P41" s="2" t="str">
        <f t="shared" si="7"/>
        <v>0.551</v>
      </c>
      <c r="Q41" s="2" t="str">
        <f t="shared" si="8"/>
        <v>0.684</v>
      </c>
      <c r="R41" s="2" t="str">
        <f t="shared" si="9"/>
        <v>0.249</v>
      </c>
    </row>
    <row r="42" spans="1:18" x14ac:dyDescent="0.35">
      <c r="A42" s="2" t="s">
        <v>1689</v>
      </c>
      <c r="B42" s="2" t="s">
        <v>1882</v>
      </c>
      <c r="C42" s="2" t="s">
        <v>1682</v>
      </c>
      <c r="D42" s="2" t="s">
        <v>2298</v>
      </c>
      <c r="E42" s="2" t="s">
        <v>2308</v>
      </c>
      <c r="F42" s="2" t="s">
        <v>2165</v>
      </c>
      <c r="G42" s="2" t="s">
        <v>1997</v>
      </c>
      <c r="H42" s="2" t="s">
        <v>1754</v>
      </c>
      <c r="I42" s="2" t="s">
        <v>1535</v>
      </c>
      <c r="J42" s="2" t="str">
        <f t="shared" si="1"/>
        <v>5.106</v>
      </c>
      <c r="K42" s="2" t="str">
        <f t="shared" si="2"/>
        <v xml:space="preserve"> 13,953</v>
      </c>
      <c r="L42" s="2" t="str">
        <f t="shared" si="3"/>
        <v>0.755</v>
      </c>
      <c r="M42" s="2" t="str">
        <f t="shared" si="4"/>
        <v>57.600</v>
      </c>
      <c r="N42" s="2" t="str">
        <f t="shared" si="5"/>
        <v>0.706</v>
      </c>
      <c r="O42" s="2" t="str">
        <f t="shared" si="6"/>
        <v>0.137</v>
      </c>
      <c r="P42" s="2" t="str">
        <f t="shared" si="7"/>
        <v>0.798</v>
      </c>
      <c r="Q42" s="2" t="str">
        <f t="shared" si="8"/>
        <v>0.634</v>
      </c>
      <c r="R42" s="2" t="str">
        <f t="shared" si="9"/>
        <v>0.399</v>
      </c>
    </row>
    <row r="43" spans="1:18" x14ac:dyDescent="0.35">
      <c r="A43" s="2" t="s">
        <v>2320</v>
      </c>
      <c r="B43" s="2" t="s">
        <v>2161</v>
      </c>
      <c r="C43" s="2" t="s">
        <v>2211</v>
      </c>
      <c r="D43" s="2" t="s">
        <v>2270</v>
      </c>
      <c r="E43" s="2" t="s">
        <v>2213</v>
      </c>
      <c r="F43" s="2" t="s">
        <v>1524</v>
      </c>
      <c r="G43" s="2" t="s">
        <v>1516</v>
      </c>
      <c r="H43" s="2" t="s">
        <v>1346</v>
      </c>
      <c r="I43" s="2" t="s">
        <v>1413</v>
      </c>
      <c r="J43" s="2" t="str">
        <f t="shared" si="1"/>
        <v>4.485</v>
      </c>
      <c r="K43" s="2" t="str">
        <f t="shared" si="2"/>
        <v xml:space="preserve"> 2,152</v>
      </c>
      <c r="L43" s="2" t="str">
        <f t="shared" si="3"/>
        <v>0.617</v>
      </c>
      <c r="M43" s="2" t="str">
        <f t="shared" si="4"/>
        <v>57.000</v>
      </c>
      <c r="N43" s="2" t="str">
        <f t="shared" si="5"/>
        <v>0.664</v>
      </c>
      <c r="O43" s="2" t="str">
        <f t="shared" si="6"/>
        <v>0.577</v>
      </c>
      <c r="P43" s="2" t="str">
        <f t="shared" si="7"/>
        <v>0.869</v>
      </c>
      <c r="Q43" s="2" t="str">
        <f t="shared" si="8"/>
        <v>0.723</v>
      </c>
      <c r="R43" s="2" t="str">
        <f t="shared" si="9"/>
        <v>0.366</v>
      </c>
    </row>
    <row r="44" spans="1:18" x14ac:dyDescent="0.35">
      <c r="A44" s="2" t="s">
        <v>1724</v>
      </c>
      <c r="B44" s="2" t="s">
        <v>1954</v>
      </c>
      <c r="C44" s="2" t="s">
        <v>2405</v>
      </c>
      <c r="D44" s="2" t="s">
        <v>1840</v>
      </c>
      <c r="E44" s="2" t="s">
        <v>1978</v>
      </c>
      <c r="F44" s="2" t="s">
        <v>2082</v>
      </c>
      <c r="G44" s="2" t="s">
        <v>2409</v>
      </c>
      <c r="H44" s="2" t="s">
        <v>2174</v>
      </c>
      <c r="I44" s="2" t="s">
        <v>2385</v>
      </c>
      <c r="J44" s="2" t="str">
        <f t="shared" si="1"/>
        <v>5.185</v>
      </c>
      <c r="K44" s="2" t="str">
        <f t="shared" si="2"/>
        <v xml:space="preserve"> 16,733</v>
      </c>
      <c r="L44" s="2" t="str">
        <f t="shared" si="3"/>
        <v>0.737</v>
      </c>
      <c r="M44" s="2" t="str">
        <f t="shared" si="4"/>
        <v>64.700</v>
      </c>
      <c r="N44" s="2" t="str">
        <f t="shared" si="5"/>
        <v>0.825</v>
      </c>
      <c r="O44" s="2" t="str">
        <f t="shared" si="6"/>
        <v>0.057</v>
      </c>
      <c r="P44" s="2" t="str">
        <f t="shared" si="7"/>
        <v>0.696</v>
      </c>
      <c r="Q44" s="2" t="str">
        <f t="shared" si="8"/>
        <v>0.520</v>
      </c>
      <c r="R44" s="2" t="str">
        <f t="shared" si="9"/>
        <v>0.235</v>
      </c>
    </row>
    <row r="45" spans="1:18" x14ac:dyDescent="0.35">
      <c r="A45" s="2" t="s">
        <v>1479</v>
      </c>
      <c r="B45" s="2" t="s">
        <v>1562</v>
      </c>
      <c r="C45" s="2" t="s">
        <v>1391</v>
      </c>
      <c r="D45" s="2" t="s">
        <v>1506</v>
      </c>
      <c r="E45" s="2" t="s">
        <v>2020</v>
      </c>
      <c r="F45" s="2" t="s">
        <v>1427</v>
      </c>
      <c r="G45" s="2" t="s">
        <v>2181</v>
      </c>
      <c r="H45" s="2" t="s">
        <v>1981</v>
      </c>
      <c r="I45" s="2" t="s">
        <v>2345</v>
      </c>
      <c r="J45" s="2" t="str">
        <f t="shared" si="1"/>
        <v>6.719</v>
      </c>
      <c r="K45" s="2" t="str">
        <f t="shared" si="2"/>
        <v xml:space="preserve"> 53,243</v>
      </c>
      <c r="L45" s="2" t="str">
        <f t="shared" si="3"/>
        <v>0.893</v>
      </c>
      <c r="M45" s="2" t="str">
        <f t="shared" si="4"/>
        <v>70.900</v>
      </c>
      <c r="N45" s="2" t="str">
        <f t="shared" si="5"/>
        <v>0.839</v>
      </c>
      <c r="O45" s="2" t="str">
        <f t="shared" si="6"/>
        <v>0.498</v>
      </c>
      <c r="P45" s="2" t="str">
        <f t="shared" si="7"/>
        <v>0.432</v>
      </c>
      <c r="Q45" s="2" t="str">
        <f t="shared" si="8"/>
        <v>0.693</v>
      </c>
      <c r="R45" s="2" t="str">
        <f t="shared" si="9"/>
        <v>0.228</v>
      </c>
    </row>
    <row r="46" spans="1:18" x14ac:dyDescent="0.35">
      <c r="A46" s="2" t="s">
        <v>2259</v>
      </c>
      <c r="B46" s="2" t="s">
        <v>2338</v>
      </c>
      <c r="C46" s="2" t="s">
        <v>2253</v>
      </c>
      <c r="D46" s="2" t="s">
        <v>2315</v>
      </c>
      <c r="E46" s="2" t="s">
        <v>1841</v>
      </c>
      <c r="F46" s="2" t="s">
        <v>1979</v>
      </c>
      <c r="G46" s="2" t="s">
        <v>1608</v>
      </c>
      <c r="H46" s="2" t="s">
        <v>1687</v>
      </c>
      <c r="I46" s="2" t="s">
        <v>1871</v>
      </c>
      <c r="J46" s="2" t="str">
        <f t="shared" si="1"/>
        <v>4.289</v>
      </c>
      <c r="K46" s="2" t="str">
        <f t="shared" si="2"/>
        <v xml:space="preserve"> 5,474</v>
      </c>
      <c r="L46" s="2" t="str">
        <f t="shared" si="3"/>
        <v>0.642</v>
      </c>
      <c r="M46" s="2" t="str">
        <f t="shared" si="4"/>
        <v>58.000</v>
      </c>
      <c r="N46" s="2" t="str">
        <f t="shared" si="5"/>
        <v>0.784</v>
      </c>
      <c r="O46" s="2" t="str">
        <f t="shared" si="6"/>
        <v>0.353</v>
      </c>
      <c r="P46" s="2" t="str">
        <f t="shared" si="7"/>
        <v>0.896</v>
      </c>
      <c r="Q46" s="2" t="str">
        <f t="shared" si="8"/>
        <v>0.616</v>
      </c>
      <c r="R46" s="2" t="str">
        <f t="shared" si="9"/>
        <v>0.280</v>
      </c>
    </row>
    <row r="47" spans="1:18" x14ac:dyDescent="0.35">
      <c r="A47" s="2" t="s">
        <v>1947</v>
      </c>
      <c r="B47" s="2" t="s">
        <v>1309</v>
      </c>
      <c r="C47" s="2" t="s">
        <v>1949</v>
      </c>
      <c r="D47" s="2" t="s">
        <v>1490</v>
      </c>
      <c r="E47" s="2" t="s">
        <v>2141</v>
      </c>
      <c r="F47" s="2" t="s">
        <v>2172</v>
      </c>
      <c r="G47" s="2" t="s">
        <v>2006</v>
      </c>
      <c r="H47" s="2" t="s">
        <v>2429</v>
      </c>
      <c r="I47" s="2" t="s">
        <v>1814</v>
      </c>
      <c r="J47" s="2" t="str">
        <f t="shared" si="1"/>
        <v>5.934</v>
      </c>
      <c r="K47" s="2" t="str">
        <f t="shared" si="2"/>
        <v xml:space="preserve"> 31,139</v>
      </c>
      <c r="L47" s="2" t="str">
        <f t="shared" si="3"/>
        <v>0.848</v>
      </c>
      <c r="M47" s="2" t="str">
        <f t="shared" si="4"/>
        <v>70.900</v>
      </c>
      <c r="N47" s="2" t="str">
        <f t="shared" si="5"/>
        <v>0.576</v>
      </c>
      <c r="O47" s="2" t="str">
        <f t="shared" si="6"/>
        <v>0.139</v>
      </c>
      <c r="P47" s="2" t="str">
        <f t="shared" si="7"/>
        <v>0.807</v>
      </c>
      <c r="Q47" s="2" t="str">
        <f t="shared" si="8"/>
        <v>0.607</v>
      </c>
      <c r="R47" s="2" t="str">
        <f t="shared" si="9"/>
        <v>0.269</v>
      </c>
    </row>
    <row r="48" spans="1:18" x14ac:dyDescent="0.35">
      <c r="A48" s="2" t="s">
        <v>1332</v>
      </c>
      <c r="B48" s="2" t="s">
        <v>1716</v>
      </c>
      <c r="C48" s="2" t="s">
        <v>1774</v>
      </c>
      <c r="D48" s="2" t="s">
        <v>1700</v>
      </c>
      <c r="E48" s="2" t="s">
        <v>1376</v>
      </c>
      <c r="F48" s="2" t="s">
        <v>2428</v>
      </c>
      <c r="G48" s="2" t="s">
        <v>1314</v>
      </c>
      <c r="H48" s="2" t="s">
        <v>1678</v>
      </c>
      <c r="I48" s="2" t="s">
        <v>1896</v>
      </c>
      <c r="J48" s="2" t="str">
        <f t="shared" si="1"/>
        <v>6.287</v>
      </c>
      <c r="K48" s="2" t="str">
        <f t="shared" si="2"/>
        <v xml:space="preserve"> 9,243</v>
      </c>
      <c r="L48" s="2" t="str">
        <f t="shared" si="3"/>
        <v>0.806</v>
      </c>
      <c r="M48" s="2" t="str">
        <f t="shared" si="4"/>
        <v>62.300</v>
      </c>
      <c r="N48" s="2" t="str">
        <f t="shared" si="5"/>
        <v>0.865</v>
      </c>
      <c r="O48" s="2" t="str">
        <f t="shared" si="6"/>
        <v>0.227</v>
      </c>
      <c r="P48" s="2" t="str">
        <f t="shared" si="7"/>
        <v>0.828</v>
      </c>
      <c r="Q48" s="2" t="str">
        <f t="shared" si="8"/>
        <v>0.843</v>
      </c>
      <c r="R48" s="2" t="str">
        <f t="shared" si="9"/>
        <v>0.281</v>
      </c>
    </row>
    <row r="49" spans="1:18" x14ac:dyDescent="0.35">
      <c r="A49" s="2" t="s">
        <v>2437</v>
      </c>
      <c r="B49" s="2" t="s">
        <v>2219</v>
      </c>
      <c r="C49" s="2" t="s">
        <v>2162</v>
      </c>
      <c r="D49" s="2" t="s">
        <v>2123</v>
      </c>
      <c r="E49" s="2" t="s">
        <v>2341</v>
      </c>
      <c r="F49" s="2" t="s">
        <v>1996</v>
      </c>
      <c r="G49" s="2" t="s">
        <v>1974</v>
      </c>
      <c r="H49" s="2" t="s">
        <v>1936</v>
      </c>
      <c r="I49" s="2" t="s">
        <v>1670</v>
      </c>
      <c r="J49" s="2" t="str">
        <f t="shared" si="1"/>
        <v>5.023</v>
      </c>
      <c r="K49" s="2" t="str">
        <f t="shared" si="2"/>
        <v xml:space="preserve"> 2,708</v>
      </c>
      <c r="L49" s="2" t="str">
        <f t="shared" si="3"/>
        <v>0.593</v>
      </c>
      <c r="M49" s="2" t="str">
        <f t="shared" si="4"/>
        <v>53.300</v>
      </c>
      <c r="N49" s="2" t="str">
        <f t="shared" si="5"/>
        <v>0.710</v>
      </c>
      <c r="O49" s="2" t="str">
        <f t="shared" si="6"/>
        <v>0.356</v>
      </c>
      <c r="P49" s="2" t="str">
        <f t="shared" si="7"/>
        <v>0.787</v>
      </c>
      <c r="Q49" s="2" t="str">
        <f t="shared" si="8"/>
        <v>0.672</v>
      </c>
      <c r="R49" s="2" t="str">
        <f t="shared" si="9"/>
        <v>0.488</v>
      </c>
    </row>
    <row r="50" spans="1:18" x14ac:dyDescent="0.35">
      <c r="A50" s="2" t="s">
        <v>1968</v>
      </c>
      <c r="B50" s="2" t="s">
        <v>2360</v>
      </c>
      <c r="C50" s="2" t="s">
        <v>2438</v>
      </c>
      <c r="D50" s="2" t="s">
        <v>1727</v>
      </c>
      <c r="E50" s="2" t="s">
        <v>1286</v>
      </c>
      <c r="F50" s="2" t="s">
        <v>1973</v>
      </c>
      <c r="G50" s="2" t="s">
        <v>2069</v>
      </c>
      <c r="H50" s="2" t="s">
        <v>1583</v>
      </c>
      <c r="I50" s="2" t="s">
        <v>1888</v>
      </c>
      <c r="J50" s="2" t="str">
        <f t="shared" si="1"/>
        <v>5.968</v>
      </c>
      <c r="K50" s="2" t="str">
        <f t="shared" si="2"/>
        <v xml:space="preserve"> 5,701</v>
      </c>
      <c r="L50" s="2" t="str">
        <f t="shared" si="3"/>
        <v>0.754</v>
      </c>
      <c r="M50" s="2" t="str">
        <f t="shared" si="4"/>
        <v>63.000</v>
      </c>
      <c r="N50" s="2" t="str">
        <f t="shared" si="5"/>
        <v>0.854</v>
      </c>
      <c r="O50" s="2" t="str">
        <f t="shared" si="6"/>
        <v>0.340</v>
      </c>
      <c r="P50" s="2" t="str">
        <f t="shared" si="7"/>
        <v>0.824</v>
      </c>
      <c r="Q50" s="2" t="str">
        <f t="shared" si="8"/>
        <v>0.784</v>
      </c>
      <c r="R50" s="2" t="str">
        <f t="shared" si="9"/>
        <v>0.281</v>
      </c>
    </row>
    <row r="51" spans="1:18" x14ac:dyDescent="0.35">
      <c r="A51" s="2" t="s">
        <v>2008</v>
      </c>
      <c r="B51" s="2" t="s">
        <v>1364</v>
      </c>
      <c r="C51" s="2" t="s">
        <v>1646</v>
      </c>
      <c r="D51" s="2" t="s">
        <v>1285</v>
      </c>
      <c r="E51" s="2" t="s">
        <v>1719</v>
      </c>
      <c r="F51" s="2" t="s">
        <v>2030</v>
      </c>
      <c r="G51" s="2" t="s">
        <v>1402</v>
      </c>
      <c r="H51" s="2" t="s">
        <v>1852</v>
      </c>
      <c r="I51" s="2" t="s">
        <v>2274</v>
      </c>
      <c r="J51" s="2" t="str">
        <f t="shared" si="1"/>
        <v>6.017</v>
      </c>
      <c r="K51" s="2" t="str">
        <f t="shared" si="2"/>
        <v xml:space="preserve"> 34,732</v>
      </c>
      <c r="L51" s="2" t="str">
        <f t="shared" si="3"/>
        <v>0.947</v>
      </c>
      <c r="M51" s="2" t="str">
        <f t="shared" si="4"/>
        <v>67.200</v>
      </c>
      <c r="N51" s="2" t="str">
        <f t="shared" si="5"/>
        <v>0.753</v>
      </c>
      <c r="O51" s="2" t="str">
        <f t="shared" si="6"/>
        <v>0.361</v>
      </c>
      <c r="P51" s="2" t="str">
        <f t="shared" si="7"/>
        <v>0.842</v>
      </c>
      <c r="Q51" s="2" t="str">
        <f t="shared" si="8"/>
        <v>0.658</v>
      </c>
      <c r="R51" s="2" t="str">
        <f t="shared" si="9"/>
        <v>0.210</v>
      </c>
    </row>
    <row r="52" spans="1:18" x14ac:dyDescent="0.35">
      <c r="A52" s="2" t="s">
        <v>1653</v>
      </c>
      <c r="B52" s="2" t="s">
        <v>1577</v>
      </c>
      <c r="C52" s="2" t="s">
        <v>1673</v>
      </c>
      <c r="D52" s="2" t="s">
        <v>1606</v>
      </c>
      <c r="E52" s="2" t="s">
        <v>1580</v>
      </c>
      <c r="F52" s="2" t="s">
        <v>1641</v>
      </c>
      <c r="G52" s="2" t="s">
        <v>2374</v>
      </c>
      <c r="H52" s="2" t="s">
        <v>1601</v>
      </c>
      <c r="I52" s="2" t="s">
        <v>2119</v>
      </c>
      <c r="J52" s="2" t="str">
        <f t="shared" si="1"/>
        <v>7.525</v>
      </c>
      <c r="K52" s="2" t="str">
        <f t="shared" si="2"/>
        <v xml:space="preserve"> 54,692</v>
      </c>
      <c r="L52" s="2" t="str">
        <f t="shared" si="3"/>
        <v>0.981</v>
      </c>
      <c r="M52" s="2" t="str">
        <f t="shared" si="4"/>
        <v>72.000</v>
      </c>
      <c r="N52" s="2" t="str">
        <f t="shared" si="5"/>
        <v>0.925</v>
      </c>
      <c r="O52" s="2" t="str">
        <f t="shared" si="6"/>
        <v>0.675</v>
      </c>
      <c r="P52" s="2" t="str">
        <f t="shared" si="7"/>
        <v>0.685</v>
      </c>
      <c r="Q52" s="2" t="str">
        <f t="shared" si="8"/>
        <v>0.790</v>
      </c>
      <c r="R52" s="2" t="str">
        <f t="shared" si="9"/>
        <v>0.175</v>
      </c>
    </row>
    <row r="53" spans="1:18" x14ac:dyDescent="0.35">
      <c r="A53" s="2" t="s">
        <v>2209</v>
      </c>
      <c r="B53" s="2" t="s">
        <v>2387</v>
      </c>
      <c r="C53" s="2" t="s">
        <v>2178</v>
      </c>
      <c r="D53" s="2" t="s">
        <v>2380</v>
      </c>
      <c r="E53" s="2" t="s">
        <v>1457</v>
      </c>
      <c r="F53" s="2" t="s">
        <v>1988</v>
      </c>
      <c r="G53" s="2" t="s">
        <v>1878</v>
      </c>
      <c r="H53" s="2" t="s">
        <v>1695</v>
      </c>
      <c r="I53" s="2" t="s">
        <v>1560</v>
      </c>
      <c r="J53" s="2" t="str">
        <f t="shared" si="1"/>
        <v>4.054</v>
      </c>
      <c r="K53" s="2" t="str">
        <f t="shared" si="2"/>
        <v xml:space="preserve"> 7,076</v>
      </c>
      <c r="L53" s="2" t="str">
        <f t="shared" si="3"/>
        <v>0.605</v>
      </c>
      <c r="M53" s="2" t="str">
        <f t="shared" si="4"/>
        <v>60.300</v>
      </c>
      <c r="N53" s="2" t="str">
        <f t="shared" si="5"/>
        <v>0.888</v>
      </c>
      <c r="O53" s="2" t="str">
        <f t="shared" si="6"/>
        <v>0.354</v>
      </c>
      <c r="P53" s="2" t="str">
        <f t="shared" si="7"/>
        <v>0.767</v>
      </c>
      <c r="Q53" s="2" t="str">
        <f t="shared" si="8"/>
        <v>0.617</v>
      </c>
      <c r="R53" s="2" t="str">
        <f t="shared" si="9"/>
        <v>0.414</v>
      </c>
    </row>
    <row r="54" spans="1:18" x14ac:dyDescent="0.35">
      <c r="A54" s="2" t="s">
        <v>1815</v>
      </c>
      <c r="B54" s="2" t="s">
        <v>1816</v>
      </c>
      <c r="C54" s="2" t="s">
        <v>1635</v>
      </c>
      <c r="D54" s="2" t="s">
        <v>1718</v>
      </c>
      <c r="E54" s="2" t="s">
        <v>1483</v>
      </c>
      <c r="F54" s="2" t="s">
        <v>1676</v>
      </c>
      <c r="G54" s="2" t="s">
        <v>1468</v>
      </c>
      <c r="H54" s="2" t="s">
        <v>1635</v>
      </c>
      <c r="I54" s="2" t="s">
        <v>1845</v>
      </c>
      <c r="J54" s="2" t="str">
        <f t="shared" si="1"/>
        <v>5.568</v>
      </c>
      <c r="K54" s="2" t="str">
        <f t="shared" si="2"/>
        <v xml:space="preserve"> 12,375</v>
      </c>
      <c r="L54" s="2" t="str">
        <f t="shared" si="3"/>
        <v>0.812</v>
      </c>
      <c r="M54" s="2" t="str">
        <f t="shared" si="4"/>
        <v>62.800</v>
      </c>
      <c r="N54" s="2" t="str">
        <f t="shared" si="5"/>
        <v>0.897</v>
      </c>
      <c r="O54" s="2" t="str">
        <f t="shared" si="6"/>
        <v>0.857</v>
      </c>
      <c r="P54" s="2" t="str">
        <f t="shared" si="7"/>
        <v>0.859</v>
      </c>
      <c r="Q54" s="2" t="str">
        <f t="shared" si="8"/>
        <v>0.812</v>
      </c>
      <c r="R54" s="2" t="str">
        <f t="shared" si="9"/>
        <v>0.276</v>
      </c>
    </row>
    <row r="55" spans="1:18" x14ac:dyDescent="0.35">
      <c r="A55" s="2" t="s">
        <v>2419</v>
      </c>
      <c r="B55" s="2" t="s">
        <v>1907</v>
      </c>
      <c r="C55" s="2" t="s">
        <v>1717</v>
      </c>
      <c r="D55" s="2" t="s">
        <v>1986</v>
      </c>
      <c r="E55" s="2" t="s">
        <v>2164</v>
      </c>
      <c r="F55" s="2" t="s">
        <v>1458</v>
      </c>
      <c r="G55" s="2" t="s">
        <v>1851</v>
      </c>
      <c r="H55" s="2" t="s">
        <v>2190</v>
      </c>
      <c r="I55" s="2" t="s">
        <v>1602</v>
      </c>
      <c r="J55" s="2" t="str">
        <f t="shared" si="1"/>
        <v>4.923</v>
      </c>
      <c r="K55" s="2" t="str">
        <f t="shared" si="2"/>
        <v xml:space="preserve"> 15,281</v>
      </c>
      <c r="L55" s="2" t="str">
        <f t="shared" si="3"/>
        <v>0.794</v>
      </c>
      <c r="M55" s="2" t="str">
        <f t="shared" si="4"/>
        <v>66.300</v>
      </c>
      <c r="N55" s="2" t="str">
        <f t="shared" si="5"/>
        <v>0.597</v>
      </c>
      <c r="O55" s="2" t="str">
        <f t="shared" si="6"/>
        <v>0.534</v>
      </c>
      <c r="P55" s="2" t="str">
        <f t="shared" si="7"/>
        <v>0.765</v>
      </c>
      <c r="Q55" s="2" t="str">
        <f t="shared" si="8"/>
        <v>0.523</v>
      </c>
      <c r="R55" s="2" t="str">
        <f t="shared" si="9"/>
        <v>0.439</v>
      </c>
    </row>
    <row r="56" spans="1:18" x14ac:dyDescent="0.35">
      <c r="A56" s="2" t="s">
        <v>1715</v>
      </c>
      <c r="B56" s="2" t="s">
        <v>1698</v>
      </c>
      <c r="C56" s="2" t="s">
        <v>2426</v>
      </c>
      <c r="D56" s="2" t="s">
        <v>1709</v>
      </c>
      <c r="E56" s="2" t="s">
        <v>2180</v>
      </c>
      <c r="F56" s="2" t="s">
        <v>1859</v>
      </c>
      <c r="G56" s="2" t="s">
        <v>1509</v>
      </c>
      <c r="H56" s="2" t="s">
        <v>2327</v>
      </c>
      <c r="I56" s="2" t="s">
        <v>1644</v>
      </c>
      <c r="J56" s="2" t="str">
        <f t="shared" si="1"/>
        <v>5.166</v>
      </c>
      <c r="K56" s="2" t="str">
        <f t="shared" si="2"/>
        <v xml:space="preserve"> 8,961</v>
      </c>
      <c r="L56" s="2" t="str">
        <f t="shared" si="3"/>
        <v>0.739</v>
      </c>
      <c r="M56" s="2" t="str">
        <f t="shared" si="4"/>
        <v>62.700</v>
      </c>
      <c r="N56" s="2" t="str">
        <f t="shared" si="5"/>
        <v>0.639</v>
      </c>
      <c r="O56" s="2" t="str">
        <f t="shared" si="6"/>
        <v>0.303</v>
      </c>
      <c r="P56" s="2" t="str">
        <f t="shared" si="7"/>
        <v>0.869</v>
      </c>
      <c r="Q56" s="2" t="str">
        <f t="shared" si="8"/>
        <v>0.576</v>
      </c>
      <c r="R56" s="2" t="str">
        <f t="shared" si="9"/>
        <v>0.482</v>
      </c>
    </row>
    <row r="57" spans="1:18" x14ac:dyDescent="0.35">
      <c r="A57" s="2" t="s">
        <v>1536</v>
      </c>
      <c r="B57" s="2" t="s">
        <v>1663</v>
      </c>
      <c r="C57" s="2" t="s">
        <v>1398</v>
      </c>
      <c r="D57" s="2" t="s">
        <v>1539</v>
      </c>
      <c r="E57" s="2" t="s">
        <v>1441</v>
      </c>
      <c r="F57" s="2" t="s">
        <v>1599</v>
      </c>
      <c r="G57" s="2" t="s">
        <v>2143</v>
      </c>
      <c r="H57" s="2" t="s">
        <v>1451</v>
      </c>
      <c r="I57" s="2" t="s">
        <v>2410</v>
      </c>
      <c r="J57" s="2" t="str">
        <f t="shared" si="1"/>
        <v>6.838</v>
      </c>
      <c r="K57" s="2" t="str">
        <f t="shared" si="2"/>
        <v>111,256</v>
      </c>
      <c r="L57" s="2" t="str">
        <f t="shared" si="3"/>
        <v>0.893</v>
      </c>
      <c r="M57" s="2" t="str">
        <f t="shared" si="4"/>
        <v>71.100</v>
      </c>
      <c r="N57" s="2" t="str">
        <f t="shared" si="5"/>
        <v>0.881</v>
      </c>
      <c r="O57" s="2" t="str">
        <f t="shared" si="6"/>
        <v>0.614</v>
      </c>
      <c r="P57" s="2" t="str">
        <f t="shared" si="7"/>
        <v>0.364</v>
      </c>
      <c r="Q57" s="2" t="str">
        <f t="shared" si="8"/>
        <v>0.737</v>
      </c>
      <c r="R57" s="2" t="str">
        <f t="shared" si="9"/>
        <v>0.242</v>
      </c>
    </row>
    <row r="58" spans="1:18" x14ac:dyDescent="0.35">
      <c r="A58" s="2" t="s">
        <v>1636</v>
      </c>
      <c r="B58" s="2" t="s">
        <v>1454</v>
      </c>
      <c r="C58" s="2" t="s">
        <v>1605</v>
      </c>
      <c r="D58" s="2" t="s">
        <v>1639</v>
      </c>
      <c r="E58" s="2" t="s">
        <v>1893</v>
      </c>
      <c r="F58" s="2" t="s">
        <v>1344</v>
      </c>
      <c r="G58" s="2" t="s">
        <v>2358</v>
      </c>
      <c r="H58" s="2" t="s">
        <v>2241</v>
      </c>
      <c r="I58" s="2" t="s">
        <v>1982</v>
      </c>
      <c r="J58" s="2" t="str">
        <f t="shared" si="1"/>
        <v>7.341</v>
      </c>
      <c r="K58" s="2" t="str">
        <f t="shared" si="2"/>
        <v xml:space="preserve"> 43,776</v>
      </c>
      <c r="L58" s="2" t="str">
        <f t="shared" si="3"/>
        <v>0.941</v>
      </c>
      <c r="M58" s="2" t="str">
        <f t="shared" si="4"/>
        <v>72.400</v>
      </c>
      <c r="N58" s="2" t="str">
        <f t="shared" si="5"/>
        <v>0.797</v>
      </c>
      <c r="O58" s="2" t="str">
        <f t="shared" si="6"/>
        <v>0.440</v>
      </c>
      <c r="P58" s="2" t="str">
        <f t="shared" si="7"/>
        <v>0.671</v>
      </c>
      <c r="Q58" s="2" t="str">
        <f t="shared" si="8"/>
        <v>0.542</v>
      </c>
      <c r="R58" s="2" t="str">
        <f t="shared" si="9"/>
        <v>0.304</v>
      </c>
    </row>
    <row r="59" spans="1:18" x14ac:dyDescent="0.35">
      <c r="A59" s="2" t="s">
        <v>1340</v>
      </c>
      <c r="B59" s="2" t="s">
        <v>1445</v>
      </c>
      <c r="C59" s="2" t="s">
        <v>2035</v>
      </c>
      <c r="D59" s="2" t="s">
        <v>1588</v>
      </c>
      <c r="E59" s="2" t="s">
        <v>2299</v>
      </c>
      <c r="F59" s="2" t="s">
        <v>2005</v>
      </c>
      <c r="G59" s="2" t="s">
        <v>1345</v>
      </c>
      <c r="H59" s="2" t="s">
        <v>1747</v>
      </c>
      <c r="I59" s="2" t="s">
        <v>1967</v>
      </c>
      <c r="J59" s="2" t="str">
        <f t="shared" si="1"/>
        <v>6.324</v>
      </c>
      <c r="K59" s="2" t="str">
        <f t="shared" si="2"/>
        <v xml:space="preserve"> 43,429</v>
      </c>
      <c r="L59" s="2" t="str">
        <f t="shared" si="3"/>
        <v>0.869</v>
      </c>
      <c r="M59" s="2" t="str">
        <f t="shared" si="4"/>
        <v>71.900</v>
      </c>
      <c r="N59" s="2" t="str">
        <f t="shared" si="5"/>
        <v>0.704</v>
      </c>
      <c r="O59" s="2" t="str">
        <f t="shared" si="6"/>
        <v>0.356</v>
      </c>
      <c r="P59" s="2" t="str">
        <f t="shared" si="7"/>
        <v>0.833</v>
      </c>
      <c r="Q59" s="2" t="str">
        <f t="shared" si="8"/>
        <v>0.632</v>
      </c>
      <c r="R59" s="2" t="str">
        <f t="shared" si="9"/>
        <v>0.303</v>
      </c>
    </row>
    <row r="60" spans="1:18" x14ac:dyDescent="0.35">
      <c r="A60" s="2" t="s">
        <v>1680</v>
      </c>
      <c r="B60" s="2" t="s">
        <v>2353</v>
      </c>
      <c r="C60" s="2" t="s">
        <v>2139</v>
      </c>
      <c r="D60" s="2" t="s">
        <v>2186</v>
      </c>
      <c r="E60" s="2" t="s">
        <v>2407</v>
      </c>
      <c r="F60" s="2" t="s">
        <v>2416</v>
      </c>
      <c r="G60" s="2" t="s">
        <v>1730</v>
      </c>
      <c r="H60" s="2" t="s">
        <v>1795</v>
      </c>
      <c r="I60" s="2" t="s">
        <v>1355</v>
      </c>
      <c r="J60" s="2" t="str">
        <f t="shared" si="1"/>
        <v>5.080</v>
      </c>
      <c r="K60" s="2" t="str">
        <f t="shared" si="2"/>
        <v xml:space="preserve"> 5,531</v>
      </c>
      <c r="L60" s="2" t="str">
        <f t="shared" si="3"/>
        <v>0.576</v>
      </c>
      <c r="M60" s="2" t="str">
        <f t="shared" si="4"/>
        <v>54.800</v>
      </c>
      <c r="N60" s="2" t="str">
        <f t="shared" si="5"/>
        <v>0.728</v>
      </c>
      <c r="O60" s="2" t="str">
        <f t="shared" si="6"/>
        <v>0.223</v>
      </c>
      <c r="P60" s="2" t="str">
        <f t="shared" si="7"/>
        <v>0.710</v>
      </c>
      <c r="Q60" s="2" t="str">
        <f t="shared" si="8"/>
        <v>0.643</v>
      </c>
      <c r="R60" s="2" t="str">
        <f t="shared" si="9"/>
        <v>0.347</v>
      </c>
    </row>
    <row r="61" spans="1:18" x14ac:dyDescent="0.35">
      <c r="A61" s="2" t="s">
        <v>1922</v>
      </c>
      <c r="B61" s="2" t="s">
        <v>1748</v>
      </c>
      <c r="C61" s="2" t="s">
        <v>2018</v>
      </c>
      <c r="D61" s="2" t="s">
        <v>2003</v>
      </c>
      <c r="E61" s="2" t="s">
        <v>1910</v>
      </c>
      <c r="F61" s="2" t="s">
        <v>2342</v>
      </c>
      <c r="G61" s="2" t="s">
        <v>1600</v>
      </c>
      <c r="H61" s="2" t="s">
        <v>2014</v>
      </c>
      <c r="I61" s="2" t="s">
        <v>1921</v>
      </c>
      <c r="J61" s="2" t="str">
        <f t="shared" si="1"/>
        <v>5.842</v>
      </c>
      <c r="K61" s="2" t="str">
        <f t="shared" si="2"/>
        <v xml:space="preserve"> 9,806</v>
      </c>
      <c r="L61" s="2" t="str">
        <f t="shared" si="3"/>
        <v>0.867</v>
      </c>
      <c r="M61" s="2" t="str">
        <f t="shared" si="4"/>
        <v>66.600</v>
      </c>
      <c r="N61" s="2" t="str">
        <f t="shared" si="5"/>
        <v>0.801</v>
      </c>
      <c r="O61" s="2" t="str">
        <f t="shared" si="6"/>
        <v>0.203</v>
      </c>
      <c r="P61" s="2" t="str">
        <f t="shared" si="7"/>
        <v>0.895</v>
      </c>
      <c r="Q61" s="2" t="str">
        <f t="shared" si="8"/>
        <v>0.702</v>
      </c>
      <c r="R61" s="2" t="str">
        <f t="shared" si="9"/>
        <v>0.289</v>
      </c>
    </row>
    <row r="62" spans="1:18" x14ac:dyDescent="0.35">
      <c r="A62" s="2" t="s">
        <v>2049</v>
      </c>
      <c r="B62" s="2" t="s">
        <v>1432</v>
      </c>
      <c r="C62" s="2" t="s">
        <v>1302</v>
      </c>
      <c r="D62" s="2" t="s">
        <v>1674</v>
      </c>
      <c r="E62" s="2" t="s">
        <v>1867</v>
      </c>
      <c r="F62" s="2" t="s">
        <v>2223</v>
      </c>
      <c r="G62" s="2" t="s">
        <v>2286</v>
      </c>
      <c r="H62" s="2" t="s">
        <v>1870</v>
      </c>
      <c r="I62" s="2" t="s">
        <v>2136</v>
      </c>
      <c r="J62" s="2" t="str">
        <f t="shared" si="1"/>
        <v>6.060</v>
      </c>
      <c r="K62" s="2" t="str">
        <f t="shared" si="2"/>
        <v xml:space="preserve"> 41,672</v>
      </c>
      <c r="L62" s="2" t="str">
        <f t="shared" si="3"/>
        <v>0.879</v>
      </c>
      <c r="M62" s="2" t="str">
        <f t="shared" si="4"/>
        <v>74.100</v>
      </c>
      <c r="N62" s="2" t="str">
        <f t="shared" si="5"/>
        <v>0.790</v>
      </c>
      <c r="O62" s="2" t="str">
        <f t="shared" si="6"/>
        <v>0.169</v>
      </c>
      <c r="P62" s="2" t="str">
        <f t="shared" si="7"/>
        <v>0.635</v>
      </c>
      <c r="Q62" s="2" t="str">
        <f t="shared" si="8"/>
        <v>0.662</v>
      </c>
      <c r="R62" s="2" t="str">
        <f t="shared" si="9"/>
        <v>0.177</v>
      </c>
    </row>
    <row r="63" spans="1:18" x14ac:dyDescent="0.35">
      <c r="A63" s="2" t="s">
        <v>2218</v>
      </c>
      <c r="B63" s="2" t="s">
        <v>1725</v>
      </c>
      <c r="C63" s="2" t="s">
        <v>2388</v>
      </c>
      <c r="D63" s="2" t="s">
        <v>1311</v>
      </c>
      <c r="E63" s="2" t="s">
        <v>1767</v>
      </c>
      <c r="F63" s="2" t="s">
        <v>2150</v>
      </c>
      <c r="G63" s="2" t="s">
        <v>2365</v>
      </c>
      <c r="H63" s="2" t="s">
        <v>2158</v>
      </c>
      <c r="I63" s="2" t="s">
        <v>1593</v>
      </c>
      <c r="J63" s="2" t="str">
        <f t="shared" si="1"/>
        <v>4.186</v>
      </c>
      <c r="K63" s="2" t="str">
        <f t="shared" si="2"/>
        <v xml:space="preserve"> 9,316</v>
      </c>
      <c r="L63" s="2" t="str">
        <f t="shared" si="3"/>
        <v>0.734</v>
      </c>
      <c r="M63" s="2" t="str">
        <f t="shared" si="4"/>
        <v>67.600</v>
      </c>
      <c r="N63" s="2" t="str">
        <f t="shared" si="5"/>
        <v>0.762</v>
      </c>
      <c r="O63" s="2" t="str">
        <f t="shared" si="6"/>
        <v>0.137</v>
      </c>
      <c r="P63" s="2" t="str">
        <f t="shared" si="7"/>
        <v>0.675</v>
      </c>
      <c r="Q63" s="2" t="str">
        <f t="shared" si="8"/>
        <v>0.507</v>
      </c>
      <c r="R63" s="2" t="str">
        <f t="shared" si="9"/>
        <v>0.435</v>
      </c>
    </row>
    <row r="64" spans="1:18" x14ac:dyDescent="0.35">
      <c r="A64" s="2" t="s">
        <v>2063</v>
      </c>
      <c r="B64" s="2" t="s">
        <v>2064</v>
      </c>
      <c r="C64" s="2" t="s">
        <v>1505</v>
      </c>
      <c r="D64" s="2" t="s">
        <v>1857</v>
      </c>
      <c r="E64" s="2" t="s">
        <v>1367</v>
      </c>
      <c r="F64" s="2" t="s">
        <v>1313</v>
      </c>
      <c r="G64" s="2" t="s">
        <v>1895</v>
      </c>
      <c r="H64" s="2" t="s">
        <v>1813</v>
      </c>
      <c r="I64" s="2" t="s">
        <v>2085</v>
      </c>
      <c r="J64" s="2" t="str">
        <f t="shared" si="1"/>
        <v>6.188</v>
      </c>
      <c r="K64" s="2" t="str">
        <f t="shared" si="2"/>
        <v xml:space="preserve"> 26,119</v>
      </c>
      <c r="L64" s="2" t="str">
        <f t="shared" si="3"/>
        <v>0.919</v>
      </c>
      <c r="M64" s="2" t="str">
        <f t="shared" si="4"/>
        <v>65.000</v>
      </c>
      <c r="N64" s="2" t="str">
        <f t="shared" si="5"/>
        <v>0.863</v>
      </c>
      <c r="O64" s="2" t="str">
        <f t="shared" si="6"/>
        <v>0.398</v>
      </c>
      <c r="P64" s="2" t="str">
        <f t="shared" si="7"/>
        <v>0.770</v>
      </c>
      <c r="Q64" s="2" t="str">
        <f t="shared" si="8"/>
        <v>0.648</v>
      </c>
      <c r="R64" s="2" t="str">
        <f t="shared" si="9"/>
        <v>0.123</v>
      </c>
    </row>
    <row r="65" spans="1:18" x14ac:dyDescent="0.35">
      <c r="A65" s="2" t="s">
        <v>2304</v>
      </c>
      <c r="B65" s="2" t="s">
        <v>2305</v>
      </c>
      <c r="C65" s="2" t="s">
        <v>2339</v>
      </c>
      <c r="D65" s="2" t="s">
        <v>2307</v>
      </c>
      <c r="E65" s="2" t="s">
        <v>2324</v>
      </c>
      <c r="F65" s="2" t="s">
        <v>1467</v>
      </c>
      <c r="G65" s="2" t="s">
        <v>1386</v>
      </c>
      <c r="H65" s="2" t="s">
        <v>1460</v>
      </c>
      <c r="I65" s="2" t="s">
        <v>1755</v>
      </c>
      <c r="J65" s="2" t="str">
        <f t="shared" si="1"/>
        <v>4.470</v>
      </c>
      <c r="K65" s="2" t="str">
        <f t="shared" si="2"/>
        <v xml:space="preserve"> 4,885</v>
      </c>
      <c r="L65" s="2" t="str">
        <f t="shared" si="3"/>
        <v>0.700</v>
      </c>
      <c r="M65" s="2" t="str">
        <f t="shared" si="4"/>
        <v>57.700</v>
      </c>
      <c r="N65" s="2" t="str">
        <f t="shared" si="5"/>
        <v>0.708</v>
      </c>
      <c r="O65" s="2" t="str">
        <f t="shared" si="6"/>
        <v>0.547</v>
      </c>
      <c r="P65" s="2" t="str">
        <f t="shared" si="7"/>
        <v>0.840</v>
      </c>
      <c r="Q65" s="2" t="str">
        <f t="shared" si="8"/>
        <v>0.742</v>
      </c>
      <c r="R65" s="2" t="str">
        <f t="shared" si="9"/>
        <v>0.259</v>
      </c>
    </row>
    <row r="66" spans="1:18" x14ac:dyDescent="0.35">
      <c r="A66" s="2" t="s">
        <v>1854</v>
      </c>
      <c r="B66" s="2" t="s">
        <v>2321</v>
      </c>
      <c r="C66" s="2" t="s">
        <v>1555</v>
      </c>
      <c r="D66" s="2" t="s">
        <v>1924</v>
      </c>
      <c r="E66" s="2" t="s">
        <v>1623</v>
      </c>
      <c r="F66" s="2" t="s">
        <v>1336</v>
      </c>
      <c r="G66" s="2" t="s">
        <v>1574</v>
      </c>
      <c r="H66" s="2" t="s">
        <v>1887</v>
      </c>
      <c r="I66" s="2" t="s">
        <v>2217</v>
      </c>
      <c r="J66" s="2" t="str">
        <f t="shared" si="1"/>
        <v>5.714</v>
      </c>
      <c r="K66" s="2" t="str">
        <f t="shared" si="2"/>
        <v xml:space="preserve"> 5,137</v>
      </c>
      <c r="L66" s="2" t="str">
        <f t="shared" si="3"/>
        <v>0.927</v>
      </c>
      <c r="M66" s="2" t="str">
        <f t="shared" si="4"/>
        <v>65.800</v>
      </c>
      <c r="N66" s="2" t="str">
        <f t="shared" si="5"/>
        <v>0.937</v>
      </c>
      <c r="O66" s="2" t="str">
        <f t="shared" si="6"/>
        <v>0.436</v>
      </c>
      <c r="P66" s="2" t="str">
        <f t="shared" si="7"/>
        <v>0.893</v>
      </c>
      <c r="Q66" s="2" t="str">
        <f t="shared" si="8"/>
        <v>0.663</v>
      </c>
      <c r="R66" s="2" t="str">
        <f t="shared" si="9"/>
        <v>0.198</v>
      </c>
    </row>
    <row r="67" spans="1:18" x14ac:dyDescent="0.35">
      <c r="A67" s="2" t="s">
        <v>1697</v>
      </c>
      <c r="B67" s="2" t="s">
        <v>2395</v>
      </c>
      <c r="C67" s="2" t="s">
        <v>2291</v>
      </c>
      <c r="D67" s="2" t="s">
        <v>2389</v>
      </c>
      <c r="E67" s="2" t="s">
        <v>1531</v>
      </c>
      <c r="F67" s="2" t="s">
        <v>2012</v>
      </c>
      <c r="G67" s="2" t="s">
        <v>1721</v>
      </c>
      <c r="H67" s="2" t="s">
        <v>1998</v>
      </c>
      <c r="I67" s="2" t="s">
        <v>2032</v>
      </c>
      <c r="J67" s="2" t="str">
        <f t="shared" ref="J67:J130" si="10">MID(A67,FIND("(",A67)+1,LEN(A67)-FIND("(",A67)-1)</f>
        <v>5.139</v>
      </c>
      <c r="K67" s="2" t="str">
        <f t="shared" si="2"/>
        <v xml:space="preserve"> 7,986</v>
      </c>
      <c r="L67" s="2" t="str">
        <f t="shared" si="3"/>
        <v>0.681</v>
      </c>
      <c r="M67" s="2" t="str">
        <f t="shared" si="4"/>
        <v>60.500</v>
      </c>
      <c r="N67" s="2" t="str">
        <f t="shared" si="5"/>
        <v>0.909</v>
      </c>
      <c r="O67" s="2" t="str">
        <f t="shared" si="6"/>
        <v>0.357</v>
      </c>
      <c r="P67" s="2" t="str">
        <f t="shared" si="7"/>
        <v>0.707</v>
      </c>
      <c r="Q67" s="2" t="str">
        <f t="shared" si="8"/>
        <v>0.700</v>
      </c>
      <c r="R67" s="2" t="str">
        <f t="shared" si="9"/>
        <v>0.317</v>
      </c>
    </row>
    <row r="68" spans="1:18" x14ac:dyDescent="0.35">
      <c r="A68" s="2" t="s">
        <v>1300</v>
      </c>
      <c r="B68" s="2" t="s">
        <v>1325</v>
      </c>
      <c r="C68" s="2" t="s">
        <v>1578</v>
      </c>
      <c r="D68" s="2" t="s">
        <v>1971</v>
      </c>
      <c r="E68" s="2" t="s">
        <v>1963</v>
      </c>
      <c r="F68" s="2" t="s">
        <v>2046</v>
      </c>
      <c r="G68" s="2" t="s">
        <v>1297</v>
      </c>
      <c r="H68" s="2" t="s">
        <v>1928</v>
      </c>
      <c r="I68" s="2" t="s">
        <v>2226</v>
      </c>
      <c r="J68" s="2" t="str">
        <f t="shared" si="10"/>
        <v>6.234</v>
      </c>
      <c r="K68" s="2" t="str">
        <f t="shared" si="2"/>
        <v xml:space="preserve"> 32,633</v>
      </c>
      <c r="L68" s="2" t="str">
        <f t="shared" si="3"/>
        <v>0.939</v>
      </c>
      <c r="M68" s="2" t="str">
        <f t="shared" si="4"/>
        <v>66.200</v>
      </c>
      <c r="N68" s="2" t="str">
        <f t="shared" si="5"/>
        <v>0.815</v>
      </c>
      <c r="O68" s="2" t="str">
        <f t="shared" si="6"/>
        <v>0.364</v>
      </c>
      <c r="P68" s="2" t="str">
        <f t="shared" si="7"/>
        <v>0.827</v>
      </c>
      <c r="Q68" s="2" t="str">
        <f t="shared" si="8"/>
        <v>0.672</v>
      </c>
      <c r="R68" s="2" t="str">
        <f t="shared" si="9"/>
        <v>0.200</v>
      </c>
    </row>
    <row r="69" spans="1:18" x14ac:dyDescent="0.35">
      <c r="A69" s="2" t="s">
        <v>2077</v>
      </c>
      <c r="B69" s="2" t="s">
        <v>1847</v>
      </c>
      <c r="C69" s="2" t="s">
        <v>2130</v>
      </c>
      <c r="D69" s="2" t="s">
        <v>1941</v>
      </c>
      <c r="E69" s="2" t="s">
        <v>2090</v>
      </c>
      <c r="F69" s="2" t="s">
        <v>2255</v>
      </c>
      <c r="G69" s="2" t="s">
        <v>1582</v>
      </c>
      <c r="H69" s="2" t="s">
        <v>2084</v>
      </c>
      <c r="I69" s="2" t="s">
        <v>1618</v>
      </c>
      <c r="J69" s="2" t="str">
        <f t="shared" si="10"/>
        <v>2.707</v>
      </c>
      <c r="K69" s="2" t="str">
        <f t="shared" si="2"/>
        <v xml:space="preserve"> 12,926</v>
      </c>
      <c r="L69" s="2" t="str">
        <f t="shared" si="3"/>
        <v>0.575</v>
      </c>
      <c r="M69" s="2" t="str">
        <f t="shared" si="4"/>
        <v>66.000</v>
      </c>
      <c r="N69" s="2" t="str">
        <f t="shared" si="5"/>
        <v>0.457</v>
      </c>
      <c r="O69" s="2" t="str">
        <f t="shared" si="6"/>
        <v>0.177</v>
      </c>
      <c r="P69" s="2" t="str">
        <f t="shared" si="7"/>
        <v>0.894</v>
      </c>
      <c r="Q69" s="2" t="str">
        <f t="shared" si="8"/>
        <v>0.311</v>
      </c>
      <c r="R69" s="2" t="str">
        <f t="shared" si="9"/>
        <v>0.461</v>
      </c>
    </row>
    <row r="70" spans="1:18" x14ac:dyDescent="0.35">
      <c r="A70" s="2" t="s">
        <v>2086</v>
      </c>
      <c r="B70" s="2" t="s">
        <v>2185</v>
      </c>
      <c r="C70" s="2" t="s">
        <v>2306</v>
      </c>
      <c r="D70" s="2" t="s">
        <v>2073</v>
      </c>
      <c r="E70" s="2" t="s">
        <v>2356</v>
      </c>
      <c r="F70" s="2" t="s">
        <v>2116</v>
      </c>
      <c r="G70" s="2" t="s">
        <v>2038</v>
      </c>
      <c r="H70" s="2" t="s">
        <v>2047</v>
      </c>
      <c r="I70" s="2" t="s">
        <v>1914</v>
      </c>
      <c r="J70" s="2" t="str">
        <f t="shared" si="10"/>
        <v>3.186</v>
      </c>
      <c r="K70" s="2" t="str">
        <f t="shared" si="2"/>
        <v xml:space="preserve"> 2,282</v>
      </c>
      <c r="L70" s="2" t="str">
        <f t="shared" si="3"/>
        <v>0.682</v>
      </c>
      <c r="M70" s="2" t="str">
        <f t="shared" si="4"/>
        <v>44.200</v>
      </c>
      <c r="N70" s="2" t="str">
        <f t="shared" si="5"/>
        <v>0.711</v>
      </c>
      <c r="O70" s="2" t="str">
        <f t="shared" si="6"/>
        <v>0.083</v>
      </c>
      <c r="P70" s="2" t="str">
        <f t="shared" si="7"/>
        <v>0.818</v>
      </c>
      <c r="Q70" s="2" t="str">
        <f t="shared" si="8"/>
        <v>0.709</v>
      </c>
      <c r="R70" s="2" t="str">
        <f t="shared" si="9"/>
        <v>0.288</v>
      </c>
    </row>
    <row r="71" spans="1:18" x14ac:dyDescent="0.35">
      <c r="A71" s="2" t="s">
        <v>2251</v>
      </c>
      <c r="B71" s="2" t="s">
        <v>2112</v>
      </c>
      <c r="C71" s="2" t="s">
        <v>2194</v>
      </c>
      <c r="D71" s="2" t="s">
        <v>2195</v>
      </c>
      <c r="E71" s="2" t="s">
        <v>2398</v>
      </c>
      <c r="F71" s="2" t="s">
        <v>1720</v>
      </c>
      <c r="G71" s="2" t="s">
        <v>1329</v>
      </c>
      <c r="H71" s="2" t="s">
        <v>1722</v>
      </c>
      <c r="I71" s="2" t="s">
        <v>1568</v>
      </c>
      <c r="J71" s="2" t="str">
        <f t="shared" si="10"/>
        <v>4.269</v>
      </c>
      <c r="K71" s="2" t="str">
        <f t="shared" si="2"/>
        <v xml:space="preserve"> 1,477</v>
      </c>
      <c r="L71" s="2" t="str">
        <f t="shared" si="3"/>
        <v>0.613</v>
      </c>
      <c r="M71" s="2" t="str">
        <f t="shared" si="4"/>
        <v>54.900</v>
      </c>
      <c r="N71" s="2" t="str">
        <f t="shared" si="5"/>
        <v>0.727</v>
      </c>
      <c r="O71" s="2" t="str">
        <f t="shared" si="6"/>
        <v>0.248</v>
      </c>
      <c r="P71" s="2" t="str">
        <f t="shared" si="7"/>
        <v>0.832</v>
      </c>
      <c r="Q71" s="2" t="str">
        <f t="shared" si="8"/>
        <v>0.623</v>
      </c>
      <c r="R71" s="2" t="str">
        <f t="shared" si="9"/>
        <v>0.433</v>
      </c>
    </row>
    <row r="72" spans="1:18" x14ac:dyDescent="0.35">
      <c r="A72" s="2" t="s">
        <v>1930</v>
      </c>
      <c r="B72" s="2" t="s">
        <v>2001</v>
      </c>
      <c r="C72" s="2" t="s">
        <v>1708</v>
      </c>
      <c r="D72" s="2" t="s">
        <v>1866</v>
      </c>
      <c r="E72" s="2" t="s">
        <v>1760</v>
      </c>
      <c r="F72" s="2" t="s">
        <v>1919</v>
      </c>
      <c r="G72" s="2" t="s">
        <v>2301</v>
      </c>
      <c r="H72" s="2" t="s">
        <v>2417</v>
      </c>
      <c r="I72" s="2" t="s">
        <v>1470</v>
      </c>
      <c r="J72" s="2" t="str">
        <f t="shared" si="10"/>
        <v>5.866</v>
      </c>
      <c r="K72" s="2" t="str">
        <f t="shared" si="2"/>
        <v xml:space="preserve"> 19,797</v>
      </c>
      <c r="L72" s="2" t="str">
        <f t="shared" si="3"/>
        <v>0.779</v>
      </c>
      <c r="M72" s="2" t="str">
        <f t="shared" si="4"/>
        <v>65.200</v>
      </c>
      <c r="N72" s="2" t="str">
        <f t="shared" si="5"/>
        <v>0.761</v>
      </c>
      <c r="O72" s="2" t="str">
        <f t="shared" si="6"/>
        <v>0.321</v>
      </c>
      <c r="P72" s="2" t="str">
        <f t="shared" si="7"/>
        <v>0.656</v>
      </c>
      <c r="Q72" s="2" t="str">
        <f t="shared" si="8"/>
        <v>0.606</v>
      </c>
      <c r="R72" s="2" t="str">
        <f t="shared" si="9"/>
        <v>0.386</v>
      </c>
    </row>
    <row r="73" spans="1:18" x14ac:dyDescent="0.35">
      <c r="A73" s="2" t="s">
        <v>1519</v>
      </c>
      <c r="B73" s="2" t="s">
        <v>1397</v>
      </c>
      <c r="C73" s="2" t="s">
        <v>1497</v>
      </c>
      <c r="D73" s="2" t="s">
        <v>2010</v>
      </c>
      <c r="E73" s="2" t="s">
        <v>2372</v>
      </c>
      <c r="F73" s="2" t="s">
        <v>2391</v>
      </c>
      <c r="G73" s="2" t="s">
        <v>1927</v>
      </c>
      <c r="H73" s="2" t="s">
        <v>2257</v>
      </c>
      <c r="I73" s="2" t="s">
        <v>2127</v>
      </c>
      <c r="J73" s="2" t="str">
        <f t="shared" si="10"/>
        <v>6.818</v>
      </c>
      <c r="K73" s="2" t="str">
        <f t="shared" si="2"/>
        <v xml:space="preserve"> 39,349</v>
      </c>
      <c r="L73" s="2" t="str">
        <f t="shared" si="3"/>
        <v>0.917</v>
      </c>
      <c r="M73" s="2" t="str">
        <f t="shared" si="4"/>
        <v>66.700</v>
      </c>
      <c r="N73" s="2" t="str">
        <f t="shared" si="5"/>
        <v>0.718</v>
      </c>
      <c r="O73" s="2" t="str">
        <f t="shared" si="6"/>
        <v>0.211</v>
      </c>
      <c r="P73" s="2" t="str">
        <f t="shared" si="7"/>
        <v>0.776</v>
      </c>
      <c r="Q73" s="2" t="str">
        <f t="shared" si="8"/>
        <v>0.549</v>
      </c>
      <c r="R73" s="2" t="str">
        <f t="shared" si="9"/>
        <v>0.177</v>
      </c>
    </row>
    <row r="74" spans="1:18" x14ac:dyDescent="0.35">
      <c r="A74" s="2" t="s">
        <v>1611</v>
      </c>
      <c r="B74" s="2" t="s">
        <v>1672</v>
      </c>
      <c r="C74" s="2" t="s">
        <v>1310</v>
      </c>
      <c r="D74" s="2" t="s">
        <v>1579</v>
      </c>
      <c r="E74" s="2" t="s">
        <v>1549</v>
      </c>
      <c r="F74" s="2" t="s">
        <v>1419</v>
      </c>
      <c r="G74" s="2" t="s">
        <v>2134</v>
      </c>
      <c r="H74" s="2" t="s">
        <v>1403</v>
      </c>
      <c r="I74" s="2" t="s">
        <v>2266</v>
      </c>
      <c r="J74" s="2" t="str">
        <f t="shared" si="10"/>
        <v>7.122</v>
      </c>
      <c r="K74" s="2" t="str">
        <f t="shared" si="2"/>
        <v>115,041</v>
      </c>
      <c r="L74" s="2" t="str">
        <f t="shared" si="3"/>
        <v>0.879</v>
      </c>
      <c r="M74" s="2" t="str">
        <f t="shared" si="4"/>
        <v>71.600</v>
      </c>
      <c r="N74" s="2" t="str">
        <f t="shared" si="5"/>
        <v>0.913</v>
      </c>
      <c r="O74" s="2" t="str">
        <f t="shared" si="6"/>
        <v>0.495</v>
      </c>
      <c r="P74" s="2" t="str">
        <f t="shared" si="7"/>
        <v>0.344</v>
      </c>
      <c r="Q74" s="2" t="str">
        <f t="shared" si="8"/>
        <v>0.735</v>
      </c>
      <c r="R74" s="2" t="str">
        <f t="shared" si="9"/>
        <v>0.206</v>
      </c>
    </row>
    <row r="75" spans="1:18" x14ac:dyDescent="0.35">
      <c r="A75" s="2" t="s">
        <v>2234</v>
      </c>
      <c r="B75" s="2" t="s">
        <v>2121</v>
      </c>
      <c r="C75" s="2" t="s">
        <v>2282</v>
      </c>
      <c r="D75" s="2" t="s">
        <v>2283</v>
      </c>
      <c r="E75" s="2" t="s">
        <v>2115</v>
      </c>
      <c r="F75" s="2" t="s">
        <v>2439</v>
      </c>
      <c r="G75" s="2" t="s">
        <v>1860</v>
      </c>
      <c r="H75" s="2" t="s">
        <v>2031</v>
      </c>
      <c r="I75" s="2" t="s">
        <v>1422</v>
      </c>
      <c r="J75" s="2" t="str">
        <f t="shared" si="10"/>
        <v>4.228</v>
      </c>
      <c r="K75" s="2" t="str">
        <f t="shared" si="2"/>
        <v xml:space="preserve"> 1,516</v>
      </c>
      <c r="L75" s="2" t="str">
        <f t="shared" si="3"/>
        <v>0.672</v>
      </c>
      <c r="M75" s="2" t="str">
        <f t="shared" si="4"/>
        <v>57.300</v>
      </c>
      <c r="N75" s="2" t="str">
        <f t="shared" si="5"/>
        <v>0.513</v>
      </c>
      <c r="O75" s="2" t="str">
        <f t="shared" si="6"/>
        <v>0.235</v>
      </c>
      <c r="P75" s="2" t="str">
        <f t="shared" si="7"/>
        <v>0.766</v>
      </c>
      <c r="Q75" s="2" t="str">
        <f t="shared" si="8"/>
        <v>0.707</v>
      </c>
      <c r="R75" s="2" t="str">
        <f t="shared" si="9"/>
        <v>0.366</v>
      </c>
    </row>
    <row r="76" spans="1:18" x14ac:dyDescent="0.35">
      <c r="A76" s="2" t="s">
        <v>2128</v>
      </c>
      <c r="B76" s="2" t="s">
        <v>2103</v>
      </c>
      <c r="C76" s="2" t="s">
        <v>2104</v>
      </c>
      <c r="D76" s="2" t="s">
        <v>2278</v>
      </c>
      <c r="E76" s="2" t="s">
        <v>1701</v>
      </c>
      <c r="F76" s="2" t="s">
        <v>2214</v>
      </c>
      <c r="G76" s="2" t="s">
        <v>1803</v>
      </c>
      <c r="H76" s="2" t="s">
        <v>2207</v>
      </c>
      <c r="I76" s="2" t="s">
        <v>1307</v>
      </c>
      <c r="J76" s="2" t="str">
        <f t="shared" si="10"/>
        <v>3.421</v>
      </c>
      <c r="K76" s="2" t="str">
        <f t="shared" si="2"/>
        <v xml:space="preserve"> 1,469</v>
      </c>
      <c r="L76" s="2" t="str">
        <f t="shared" si="3"/>
        <v>0.510</v>
      </c>
      <c r="M76" s="2" t="str">
        <f t="shared" si="4"/>
        <v>57.100</v>
      </c>
      <c r="N76" s="2" t="str">
        <f t="shared" si="5"/>
        <v>0.746</v>
      </c>
      <c r="O76" s="2" t="str">
        <f t="shared" si="6"/>
        <v>0.161</v>
      </c>
      <c r="P76" s="2" t="str">
        <f t="shared" si="7"/>
        <v>0.749</v>
      </c>
      <c r="Q76" s="2" t="str">
        <f t="shared" si="8"/>
        <v>0.535</v>
      </c>
      <c r="R76" s="2" t="str">
        <f t="shared" si="9"/>
        <v>0.332</v>
      </c>
    </row>
    <row r="77" spans="1:18" x14ac:dyDescent="0.35">
      <c r="A77" s="2" t="s">
        <v>1983</v>
      </c>
      <c r="B77" s="2" t="s">
        <v>1301</v>
      </c>
      <c r="C77" s="2" t="s">
        <v>1726</v>
      </c>
      <c r="D77" s="2" t="s">
        <v>1900</v>
      </c>
      <c r="E77" s="2" t="s">
        <v>1614</v>
      </c>
      <c r="F77" s="2" t="s">
        <v>1492</v>
      </c>
      <c r="G77" s="2" t="s">
        <v>1903</v>
      </c>
      <c r="H77" s="2" t="s">
        <v>1494</v>
      </c>
      <c r="I77" s="2" t="s">
        <v>2191</v>
      </c>
      <c r="J77" s="2" t="str">
        <f t="shared" si="10"/>
        <v>5.975</v>
      </c>
      <c r="K77" s="2" t="str">
        <f t="shared" si="2"/>
        <v xml:space="preserve"> 27,926</v>
      </c>
      <c r="L77" s="2" t="str">
        <f t="shared" si="3"/>
        <v>0.796</v>
      </c>
      <c r="M77" s="2" t="str">
        <f t="shared" si="4"/>
        <v>65.700</v>
      </c>
      <c r="N77" s="2" t="str">
        <f t="shared" si="5"/>
        <v>0.933</v>
      </c>
      <c r="O77" s="2" t="str">
        <f t="shared" si="6"/>
        <v>0.558</v>
      </c>
      <c r="P77" s="2" t="str">
        <f t="shared" si="7"/>
        <v>0.771</v>
      </c>
      <c r="Q77" s="2" t="str">
        <f t="shared" si="8"/>
        <v>0.752</v>
      </c>
      <c r="R77" s="2" t="str">
        <f t="shared" si="9"/>
        <v>0.189</v>
      </c>
    </row>
    <row r="78" spans="1:18" x14ac:dyDescent="0.35">
      <c r="A78" s="2" t="s">
        <v>2243</v>
      </c>
      <c r="B78" s="2" t="s">
        <v>2147</v>
      </c>
      <c r="C78" s="2" t="s">
        <v>2228</v>
      </c>
      <c r="D78" s="2" t="s">
        <v>2179</v>
      </c>
      <c r="E78" s="2" t="s">
        <v>1737</v>
      </c>
      <c r="F78" s="2" t="s">
        <v>2188</v>
      </c>
      <c r="G78" s="2" t="s">
        <v>2013</v>
      </c>
      <c r="H78" s="2" t="s">
        <v>1835</v>
      </c>
      <c r="I78" s="2" t="s">
        <v>1478</v>
      </c>
      <c r="J78" s="2" t="str">
        <f t="shared" si="10"/>
        <v>4.232</v>
      </c>
      <c r="K78" s="2" t="str">
        <f t="shared" si="2"/>
        <v xml:space="preserve"> 2,134</v>
      </c>
      <c r="L78" s="2" t="str">
        <f t="shared" si="3"/>
        <v>0.619</v>
      </c>
      <c r="M78" s="2" t="str">
        <f t="shared" si="4"/>
        <v>54.600</v>
      </c>
      <c r="N78" s="2" t="str">
        <f t="shared" si="5"/>
        <v>0.756</v>
      </c>
      <c r="O78" s="2" t="str">
        <f t="shared" si="6"/>
        <v>0.157</v>
      </c>
      <c r="P78" s="2" t="str">
        <f t="shared" si="7"/>
        <v>0.812</v>
      </c>
      <c r="Q78" s="2" t="str">
        <f t="shared" si="8"/>
        <v>0.652</v>
      </c>
      <c r="R78" s="2" t="str">
        <f t="shared" si="9"/>
        <v>0.388</v>
      </c>
    </row>
    <row r="79" spans="1:18" x14ac:dyDescent="0.35">
      <c r="A79" s="2" t="s">
        <v>1348</v>
      </c>
      <c r="B79" s="2" t="s">
        <v>1496</v>
      </c>
      <c r="C79" s="2" t="s">
        <v>1481</v>
      </c>
      <c r="D79" s="2" t="s">
        <v>1571</v>
      </c>
      <c r="E79" s="2" t="s">
        <v>1321</v>
      </c>
      <c r="F79" s="2" t="s">
        <v>1658</v>
      </c>
      <c r="G79" s="2" t="s">
        <v>1843</v>
      </c>
      <c r="H79" s="2" t="s">
        <v>1821</v>
      </c>
      <c r="I79" s="2" t="s">
        <v>1430</v>
      </c>
      <c r="J79" s="2" t="str">
        <f t="shared" si="10"/>
        <v>6.346</v>
      </c>
      <c r="K79" s="2" t="str">
        <f t="shared" si="2"/>
        <v xml:space="preserve"> 46,889</v>
      </c>
      <c r="L79" s="2" t="str">
        <f t="shared" si="3"/>
        <v>0.914</v>
      </c>
      <c r="M79" s="2" t="str">
        <f t="shared" si="4"/>
        <v>71.500</v>
      </c>
      <c r="N79" s="2" t="str">
        <f t="shared" si="5"/>
        <v>0.859</v>
      </c>
      <c r="O79" s="2" t="str">
        <f t="shared" si="6"/>
        <v>0.678</v>
      </c>
      <c r="P79" s="2" t="str">
        <f t="shared" si="7"/>
        <v>0.764</v>
      </c>
      <c r="Q79" s="2" t="str">
        <f t="shared" si="8"/>
        <v>0.650</v>
      </c>
      <c r="R79" s="2" t="str">
        <f t="shared" si="9"/>
        <v>0.369</v>
      </c>
    </row>
    <row r="80" spans="1:18" x14ac:dyDescent="0.35">
      <c r="A80" s="2" t="s">
        <v>2329</v>
      </c>
      <c r="B80" s="2" t="s">
        <v>2347</v>
      </c>
      <c r="C80" s="2" t="s">
        <v>2236</v>
      </c>
      <c r="D80" s="2" t="s">
        <v>2355</v>
      </c>
      <c r="E80" s="2" t="s">
        <v>2149</v>
      </c>
      <c r="F80" s="2" t="s">
        <v>1729</v>
      </c>
      <c r="G80" s="2" t="s">
        <v>2335</v>
      </c>
      <c r="H80" s="2" t="s">
        <v>1913</v>
      </c>
      <c r="I80" s="2" t="s">
        <v>1395</v>
      </c>
      <c r="J80" s="2" t="str">
        <f t="shared" si="10"/>
        <v>4.505</v>
      </c>
      <c r="K80" s="2" t="str">
        <f t="shared" si="2"/>
        <v xml:space="preserve"> 5,492</v>
      </c>
      <c r="L80" s="2" t="str">
        <f t="shared" si="3"/>
        <v>0.625</v>
      </c>
      <c r="M80" s="2" t="str">
        <f t="shared" si="4"/>
        <v>59.800</v>
      </c>
      <c r="N80" s="2" t="str">
        <f t="shared" si="5"/>
        <v>0.580</v>
      </c>
      <c r="O80" s="2" t="str">
        <f t="shared" si="6"/>
        <v>0.249</v>
      </c>
      <c r="P80" s="2" t="str">
        <f t="shared" si="7"/>
        <v>0.663</v>
      </c>
      <c r="Q80" s="2" t="str">
        <f t="shared" si="8"/>
        <v>0.671</v>
      </c>
      <c r="R80" s="2" t="str">
        <f t="shared" si="9"/>
        <v>0.360</v>
      </c>
    </row>
    <row r="81" spans="1:18" x14ac:dyDescent="0.35">
      <c r="A81" s="2" t="s">
        <v>1897</v>
      </c>
      <c r="B81" s="2" t="s">
        <v>2034</v>
      </c>
      <c r="C81" s="2" t="s">
        <v>1319</v>
      </c>
      <c r="D81" s="2" t="s">
        <v>1766</v>
      </c>
      <c r="E81" s="2" t="s">
        <v>1884</v>
      </c>
      <c r="F81" s="2" t="s">
        <v>1934</v>
      </c>
      <c r="G81" s="2" t="s">
        <v>1912</v>
      </c>
      <c r="H81" s="2" t="s">
        <v>1966</v>
      </c>
      <c r="I81" s="2" t="s">
        <v>2102</v>
      </c>
      <c r="J81" s="2" t="str">
        <f t="shared" si="10"/>
        <v>5.816</v>
      </c>
      <c r="K81" s="2" t="str">
        <f t="shared" si="2"/>
        <v xml:space="preserve"> 22,502</v>
      </c>
      <c r="L81" s="2" t="str">
        <f t="shared" si="3"/>
        <v>0.880</v>
      </c>
      <c r="M81" s="2" t="str">
        <f t="shared" si="4"/>
        <v>63.900</v>
      </c>
      <c r="N81" s="2" t="str">
        <f t="shared" si="5"/>
        <v>0.796</v>
      </c>
      <c r="O81" s="2" t="str">
        <f t="shared" si="6"/>
        <v>0.329</v>
      </c>
      <c r="P81" s="2" t="str">
        <f t="shared" si="7"/>
        <v>0.773</v>
      </c>
      <c r="Q81" s="2" t="str">
        <f t="shared" si="8"/>
        <v>0.686</v>
      </c>
      <c r="R81" s="2" t="str">
        <f t="shared" si="9"/>
        <v>0.155</v>
      </c>
    </row>
    <row r="82" spans="1:18" x14ac:dyDescent="0.35">
      <c r="A82" s="2" t="s">
        <v>1471</v>
      </c>
      <c r="B82" s="2" t="s">
        <v>1992</v>
      </c>
      <c r="C82" s="2" t="s">
        <v>1899</v>
      </c>
      <c r="D82" s="2" t="s">
        <v>1918</v>
      </c>
      <c r="E82" s="2" t="s">
        <v>1304</v>
      </c>
      <c r="F82" s="2" t="s">
        <v>1693</v>
      </c>
      <c r="G82" s="2" t="s">
        <v>1834</v>
      </c>
      <c r="H82" s="2" t="s">
        <v>1617</v>
      </c>
      <c r="I82" s="2" t="s">
        <v>1714</v>
      </c>
      <c r="J82" s="2" t="str">
        <f t="shared" si="10"/>
        <v>6.678</v>
      </c>
      <c r="K82" s="2" t="str">
        <f t="shared" ref="K82:K132" si="11">MID(B82,FIND("(",B82)+1,LEN(B82)-FIND("(",B82)-1)</f>
        <v xml:space="preserve"> 19,520</v>
      </c>
      <c r="L82" s="2" t="str">
        <f t="shared" ref="L82:L132" si="12">MID(C82,FIND("(",C82)+1,LEN(C82)-FIND("(",C82)-1)</f>
        <v>0.835</v>
      </c>
      <c r="M82" s="2" t="str">
        <f t="shared" ref="M82:M132" si="13">MID(D82,FIND("(",D82)+1,LEN(D82)-FIND("(",D82)-1)</f>
        <v>65.800</v>
      </c>
      <c r="N82" s="2" t="str">
        <f t="shared" ref="N82:N132" si="14">MID(E82,FIND("(",E82)+1,LEN(E82)-FIND("(",E82)-1)</f>
        <v>0.855</v>
      </c>
      <c r="O82" s="2" t="str">
        <f t="shared" ref="O82:O132" si="15">MID(F82,FIND("(",F82)+1,LEN(F82)-FIND("(",F82)-1)</f>
        <v>0.245</v>
      </c>
      <c r="P82" s="2" t="str">
        <f t="shared" ref="P82:P132" si="16">MID(G82,FIND("(",G82)+1,LEN(G82)-FIND("(",G82)-1)</f>
        <v>0.761</v>
      </c>
      <c r="Q82" s="2" t="str">
        <f t="shared" ref="Q82:Q132" si="17">MID(H82,FIND("(",H82)+1,LEN(H82)-FIND("(",H82)-1)</f>
        <v>0.793</v>
      </c>
      <c r="R82" s="2" t="str">
        <f t="shared" ref="R82:R132" si="18">MID(I82,FIND("(",I82)+1,LEN(I82)-FIND("(",I82)-1)</f>
        <v>0.248</v>
      </c>
    </row>
    <row r="83" spans="1:18" x14ac:dyDescent="0.35">
      <c r="A83" s="2" t="s">
        <v>1889</v>
      </c>
      <c r="B83" s="2" t="s">
        <v>1855</v>
      </c>
      <c r="C83" s="2" t="s">
        <v>1970</v>
      </c>
      <c r="D83" s="2" t="s">
        <v>1823</v>
      </c>
      <c r="E83" s="2" t="s">
        <v>2011</v>
      </c>
      <c r="F83" s="2" t="s">
        <v>2325</v>
      </c>
      <c r="G83" s="2" t="s">
        <v>1525</v>
      </c>
      <c r="H83" s="2" t="s">
        <v>2375</v>
      </c>
      <c r="I83" s="2" t="s">
        <v>1780</v>
      </c>
      <c r="J83" s="2" t="str">
        <f t="shared" si="10"/>
        <v>5.816</v>
      </c>
      <c r="K83" s="2" t="str">
        <f t="shared" si="11"/>
        <v xml:space="preserve"> 13,250</v>
      </c>
      <c r="L83" s="2" t="str">
        <f t="shared" si="12"/>
        <v>0.849</v>
      </c>
      <c r="M83" s="2" t="str">
        <f t="shared" si="13"/>
        <v>64.500</v>
      </c>
      <c r="N83" s="2" t="str">
        <f t="shared" si="14"/>
        <v>0.836</v>
      </c>
      <c r="O83" s="2" t="str">
        <f t="shared" si="15"/>
        <v>0.201</v>
      </c>
      <c r="P83" s="2" t="str">
        <f t="shared" si="16"/>
        <v>0.873</v>
      </c>
      <c r="Q83" s="2" t="str">
        <f t="shared" si="17"/>
        <v>0.590</v>
      </c>
      <c r="R83" s="2" t="str">
        <f t="shared" si="18"/>
        <v>0.263</v>
      </c>
    </row>
    <row r="84" spans="1:18" x14ac:dyDescent="0.35">
      <c r="A84" s="2" t="s">
        <v>1837</v>
      </c>
      <c r="B84" s="2" t="s">
        <v>1798</v>
      </c>
      <c r="C84" s="2" t="s">
        <v>1587</v>
      </c>
      <c r="D84" s="2" t="s">
        <v>2371</v>
      </c>
      <c r="E84" s="2" t="s">
        <v>2284</v>
      </c>
      <c r="F84" s="2" t="s">
        <v>1449</v>
      </c>
      <c r="G84" s="2" t="s">
        <v>1459</v>
      </c>
      <c r="H84" s="2" t="s">
        <v>2273</v>
      </c>
      <c r="I84" s="2" t="s">
        <v>2242</v>
      </c>
      <c r="J84" s="2" t="str">
        <f t="shared" si="10"/>
        <v>5.696</v>
      </c>
      <c r="K84" s="2" t="str">
        <f t="shared" si="11"/>
        <v xml:space="preserve"> 12,067</v>
      </c>
      <c r="L84" s="2" t="str">
        <f t="shared" si="12"/>
        <v>0.940</v>
      </c>
      <c r="M84" s="2" t="str">
        <f t="shared" si="13"/>
        <v>60.300</v>
      </c>
      <c r="N84" s="2" t="str">
        <f t="shared" si="14"/>
        <v>0.695</v>
      </c>
      <c r="O84" s="2" t="str">
        <f t="shared" si="15"/>
        <v>0.521</v>
      </c>
      <c r="P84" s="2" t="str">
        <f t="shared" si="16"/>
        <v>0.858</v>
      </c>
      <c r="Q84" s="2" t="str">
        <f t="shared" si="17"/>
        <v>0.553</v>
      </c>
      <c r="R84" s="2" t="str">
        <f t="shared" si="18"/>
        <v>0.203</v>
      </c>
    </row>
    <row r="85" spans="1:18" x14ac:dyDescent="0.35">
      <c r="A85" s="2" t="s">
        <v>1846</v>
      </c>
      <c r="B85" s="2" t="s">
        <v>2042</v>
      </c>
      <c r="C85" s="2" t="s">
        <v>1993</v>
      </c>
      <c r="D85" s="2" t="s">
        <v>2044</v>
      </c>
      <c r="E85" s="2" t="s">
        <v>1876</v>
      </c>
      <c r="F85" s="2" t="s">
        <v>1877</v>
      </c>
      <c r="G85" s="2" t="s">
        <v>1812</v>
      </c>
      <c r="H85" s="2" t="s">
        <v>2144</v>
      </c>
      <c r="I85" s="2" t="s">
        <v>2040</v>
      </c>
      <c r="J85" s="2" t="str">
        <f t="shared" si="10"/>
        <v>5.707</v>
      </c>
      <c r="K85" s="2" t="str">
        <f t="shared" si="11"/>
        <v xml:space="preserve"> 22,509</v>
      </c>
      <c r="L85" s="2" t="str">
        <f t="shared" si="12"/>
        <v>0.865</v>
      </c>
      <c r="M85" s="2" t="str">
        <f t="shared" si="13"/>
        <v>67.000</v>
      </c>
      <c r="N85" s="2" t="str">
        <f t="shared" si="14"/>
        <v>0.790</v>
      </c>
      <c r="O85" s="2" t="str">
        <f t="shared" si="15"/>
        <v>0.307</v>
      </c>
      <c r="P85" s="2" t="str">
        <f t="shared" si="16"/>
        <v>0.754</v>
      </c>
      <c r="Q85" s="2" t="str">
        <f t="shared" si="17"/>
        <v>0.483</v>
      </c>
      <c r="R85" s="2" t="str">
        <f t="shared" si="18"/>
        <v>0.317</v>
      </c>
    </row>
    <row r="86" spans="1:18" x14ac:dyDescent="0.35">
      <c r="A86" s="2" t="s">
        <v>2359</v>
      </c>
      <c r="B86" s="2" t="s">
        <v>2412</v>
      </c>
      <c r="C86" s="2" t="s">
        <v>2113</v>
      </c>
      <c r="D86" s="2" t="s">
        <v>1759</v>
      </c>
      <c r="E86" s="2" t="s">
        <v>1858</v>
      </c>
      <c r="F86" s="2" t="s">
        <v>2133</v>
      </c>
      <c r="G86" s="2" t="s">
        <v>2061</v>
      </c>
      <c r="H86" s="2" t="s">
        <v>2293</v>
      </c>
      <c r="I86" s="2" t="s">
        <v>1486</v>
      </c>
      <c r="J86" s="2" t="str">
        <f t="shared" si="10"/>
        <v>4.795</v>
      </c>
      <c r="K86" s="2" t="str">
        <f t="shared" si="11"/>
        <v xml:space="preserve"> 8,101</v>
      </c>
      <c r="L86" s="2" t="str">
        <f t="shared" si="12"/>
        <v>0.534</v>
      </c>
      <c r="M86" s="2" t="str">
        <f t="shared" si="13"/>
        <v>63.700</v>
      </c>
      <c r="N86" s="2" t="str">
        <f t="shared" si="14"/>
        <v>0.789</v>
      </c>
      <c r="O86" s="2" t="str">
        <f t="shared" si="15"/>
        <v>0.094</v>
      </c>
      <c r="P86" s="2" t="str">
        <f t="shared" si="16"/>
        <v>0.822</v>
      </c>
      <c r="Q86" s="2" t="str">
        <f t="shared" si="17"/>
        <v>0.562</v>
      </c>
      <c r="R86" s="2" t="str">
        <f t="shared" si="18"/>
        <v>0.389</v>
      </c>
    </row>
    <row r="87" spans="1:18" x14ac:dyDescent="0.35">
      <c r="A87" s="2" t="s">
        <v>1733</v>
      </c>
      <c r="B87" s="2" t="s">
        <v>2078</v>
      </c>
      <c r="C87" s="2" t="s">
        <v>2331</v>
      </c>
      <c r="D87" s="2" t="s">
        <v>2089</v>
      </c>
      <c r="E87" s="2" t="s">
        <v>1335</v>
      </c>
      <c r="F87" s="2" t="s">
        <v>2300</v>
      </c>
      <c r="G87" s="2" t="s">
        <v>2343</v>
      </c>
      <c r="H87" s="2" t="s">
        <v>2440</v>
      </c>
      <c r="I87" s="2" t="s">
        <v>1362</v>
      </c>
      <c r="J87" s="2" t="str">
        <f t="shared" si="10"/>
        <v>5.216</v>
      </c>
      <c r="K87" s="2" t="str">
        <f t="shared" si="11"/>
        <v xml:space="preserve"> 1,247</v>
      </c>
      <c r="L87" s="2" t="str">
        <f t="shared" si="12"/>
        <v>0.695</v>
      </c>
      <c r="M87" s="2" t="str">
        <f t="shared" si="13"/>
        <v>50.400</v>
      </c>
      <c r="N87" s="2" t="str">
        <f t="shared" si="14"/>
        <v>0.860</v>
      </c>
      <c r="O87" s="2" t="str">
        <f t="shared" si="15"/>
        <v>0.195</v>
      </c>
      <c r="P87" s="2" t="str">
        <f t="shared" si="16"/>
        <v>0.666</v>
      </c>
      <c r="Q87" s="2" t="str">
        <f t="shared" si="17"/>
        <v>0.615</v>
      </c>
      <c r="R87" s="2" t="str">
        <f t="shared" si="18"/>
        <v>0.350</v>
      </c>
    </row>
    <row r="88" spans="1:18" x14ac:dyDescent="0.35">
      <c r="A88" s="2" t="s">
        <v>2275</v>
      </c>
      <c r="B88" s="2" t="s">
        <v>2290</v>
      </c>
      <c r="C88" s="2" t="s">
        <v>2396</v>
      </c>
      <c r="D88" s="2" t="s">
        <v>2397</v>
      </c>
      <c r="E88" s="2" t="s">
        <v>2196</v>
      </c>
      <c r="F88" s="2" t="s">
        <v>1667</v>
      </c>
      <c r="G88" s="2" t="s">
        <v>1686</v>
      </c>
      <c r="H88" s="2" t="s">
        <v>1804</v>
      </c>
      <c r="I88" s="2" t="s">
        <v>1299</v>
      </c>
      <c r="J88" s="2" t="str">
        <f t="shared" si="10"/>
        <v>4.354</v>
      </c>
      <c r="K88" s="2" t="str">
        <f t="shared" si="11"/>
        <v xml:space="preserve"> 4,125</v>
      </c>
      <c r="L88" s="2" t="str">
        <f t="shared" si="12"/>
        <v>0.736</v>
      </c>
      <c r="M88" s="2" t="str">
        <f t="shared" si="13"/>
        <v>60.900</v>
      </c>
      <c r="N88" s="2" t="str">
        <f t="shared" si="14"/>
        <v>0.658</v>
      </c>
      <c r="O88" s="2" t="str">
        <f t="shared" si="15"/>
        <v>0.779</v>
      </c>
      <c r="P88" s="2" t="str">
        <f t="shared" si="16"/>
        <v>0.696</v>
      </c>
      <c r="Q88" s="2" t="str">
        <f t="shared" si="17"/>
        <v>0.647</v>
      </c>
      <c r="R88" s="2" t="str">
        <f t="shared" si="18"/>
        <v>0.328</v>
      </c>
    </row>
    <row r="89" spans="1:18" x14ac:dyDescent="0.35">
      <c r="A89" s="2" t="s">
        <v>2368</v>
      </c>
      <c r="B89" s="2" t="s">
        <v>1741</v>
      </c>
      <c r="C89" s="2" t="s">
        <v>1856</v>
      </c>
      <c r="D89" s="2" t="s">
        <v>2229</v>
      </c>
      <c r="E89" s="2" t="s">
        <v>2238</v>
      </c>
      <c r="F89" s="2" t="s">
        <v>2197</v>
      </c>
      <c r="G89" s="2" t="s">
        <v>1420</v>
      </c>
      <c r="H89" s="2" t="s">
        <v>1827</v>
      </c>
      <c r="I89" s="2" t="s">
        <v>2367</v>
      </c>
      <c r="J89" s="2" t="str">
        <f t="shared" si="10"/>
        <v>4.832</v>
      </c>
      <c r="K89" s="2" t="str">
        <f t="shared" si="11"/>
        <v xml:space="preserve"> 9,425</v>
      </c>
      <c r="L89" s="2" t="str">
        <f t="shared" si="12"/>
        <v>0.823</v>
      </c>
      <c r="M89" s="2" t="str">
        <f t="shared" si="13"/>
        <v>56.100</v>
      </c>
      <c r="N89" s="2" t="str">
        <f t="shared" si="14"/>
        <v>0.672</v>
      </c>
      <c r="O89" s="2" t="str">
        <f t="shared" si="15"/>
        <v>0.158</v>
      </c>
      <c r="P89" s="2" t="str">
        <f t="shared" si="16"/>
        <v>0.850</v>
      </c>
      <c r="Q89" s="2" t="str">
        <f t="shared" si="17"/>
        <v>0.651</v>
      </c>
      <c r="R89" s="2" t="str">
        <f t="shared" si="18"/>
        <v>0.233</v>
      </c>
    </row>
    <row r="90" spans="1:18" x14ac:dyDescent="0.35">
      <c r="A90" s="2" t="s">
        <v>1706</v>
      </c>
      <c r="B90" s="2" t="s">
        <v>2276</v>
      </c>
      <c r="C90" s="2" t="s">
        <v>2413</v>
      </c>
      <c r="D90" s="2" t="s">
        <v>2406</v>
      </c>
      <c r="E90" s="2" t="s">
        <v>1950</v>
      </c>
      <c r="F90" s="2" t="s">
        <v>1287</v>
      </c>
      <c r="G90" s="2" t="s">
        <v>1935</v>
      </c>
      <c r="H90" s="2" t="s">
        <v>2118</v>
      </c>
      <c r="I90" s="2" t="s">
        <v>1347</v>
      </c>
      <c r="J90" s="2" t="str">
        <f t="shared" si="10"/>
        <v>5.158</v>
      </c>
      <c r="K90" s="2" t="str">
        <f t="shared" si="11"/>
        <v xml:space="preserve"> 3,983</v>
      </c>
      <c r="L90" s="2" t="str">
        <f t="shared" si="12"/>
        <v>0.737</v>
      </c>
      <c r="M90" s="2" t="str">
        <f t="shared" si="13"/>
        <v>61.300</v>
      </c>
      <c r="N90" s="2" t="str">
        <f t="shared" si="14"/>
        <v>0.805</v>
      </c>
      <c r="O90" s="2" t="str">
        <f t="shared" si="15"/>
        <v>0.385</v>
      </c>
      <c r="P90" s="2" t="str">
        <f t="shared" si="16"/>
        <v>0.777</v>
      </c>
      <c r="Q90" s="2" t="str">
        <f t="shared" si="17"/>
        <v>0.450</v>
      </c>
      <c r="R90" s="2" t="str">
        <f t="shared" si="18"/>
        <v>0.346</v>
      </c>
    </row>
    <row r="91" spans="1:18" x14ac:dyDescent="0.35">
      <c r="A91" s="2" t="s">
        <v>1628</v>
      </c>
      <c r="B91" s="2" t="s">
        <v>1595</v>
      </c>
      <c r="C91" s="2" t="s">
        <v>1529</v>
      </c>
      <c r="D91" s="2" t="s">
        <v>1556</v>
      </c>
      <c r="E91" s="2" t="s">
        <v>1312</v>
      </c>
      <c r="F91" s="2" t="s">
        <v>1633</v>
      </c>
      <c r="G91" s="2" t="s">
        <v>2166</v>
      </c>
      <c r="H91" s="2" t="s">
        <v>2023</v>
      </c>
      <c r="I91" s="2" t="s">
        <v>2233</v>
      </c>
      <c r="J91" s="2" t="str">
        <f t="shared" si="10"/>
        <v>7.319</v>
      </c>
      <c r="K91" s="2" t="str">
        <f t="shared" si="11"/>
        <v xml:space="preserve"> 57,904</v>
      </c>
      <c r="L91" s="2" t="str">
        <f t="shared" si="12"/>
        <v>0.921</v>
      </c>
      <c r="M91" s="2" t="str">
        <f t="shared" si="13"/>
        <v>71.400</v>
      </c>
      <c r="N91" s="2" t="str">
        <f t="shared" si="14"/>
        <v>0.858</v>
      </c>
      <c r="O91" s="2" t="str">
        <f t="shared" si="15"/>
        <v>0.654</v>
      </c>
      <c r="P91" s="2" t="str">
        <f t="shared" si="16"/>
        <v>0.426</v>
      </c>
      <c r="Q91" s="2" t="str">
        <f t="shared" si="17"/>
        <v>0.706</v>
      </c>
      <c r="R91" s="2" t="str">
        <f t="shared" si="18"/>
        <v>0.201</v>
      </c>
    </row>
    <row r="92" spans="1:18" x14ac:dyDescent="0.35">
      <c r="A92" s="2" t="s">
        <v>1585</v>
      </c>
      <c r="B92" s="2" t="s">
        <v>1463</v>
      </c>
      <c r="C92" s="2" t="s">
        <v>1630</v>
      </c>
      <c r="D92" s="2" t="s">
        <v>1456</v>
      </c>
      <c r="E92" s="2" t="s">
        <v>1409</v>
      </c>
      <c r="F92" s="2" t="s">
        <v>1550</v>
      </c>
      <c r="G92" s="2" t="s">
        <v>2126</v>
      </c>
      <c r="H92" s="2" t="s">
        <v>1361</v>
      </c>
      <c r="I92" s="2" t="s">
        <v>2294</v>
      </c>
      <c r="J92" s="2" t="str">
        <f t="shared" si="10"/>
        <v>7.029</v>
      </c>
      <c r="K92" s="2" t="str">
        <f t="shared" si="11"/>
        <v xml:space="preserve"> 44,715</v>
      </c>
      <c r="L92" s="2" t="str">
        <f t="shared" si="12"/>
        <v>0.946</v>
      </c>
      <c r="M92" s="2" t="str">
        <f t="shared" si="13"/>
        <v>70.200</v>
      </c>
      <c r="N92" s="2" t="str">
        <f t="shared" si="14"/>
        <v>0.872</v>
      </c>
      <c r="O92" s="2" t="str">
        <f t="shared" si="15"/>
        <v>0.592</v>
      </c>
      <c r="P92" s="2" t="str">
        <f t="shared" si="16"/>
        <v>0.279</v>
      </c>
      <c r="Q92" s="2" t="str">
        <f t="shared" si="17"/>
        <v>0.730</v>
      </c>
      <c r="R92" s="2" t="str">
        <f t="shared" si="18"/>
        <v>0.215</v>
      </c>
    </row>
    <row r="93" spans="1:18" x14ac:dyDescent="0.35">
      <c r="A93" s="2" t="s">
        <v>1324</v>
      </c>
      <c r="B93" s="2" t="s">
        <v>2369</v>
      </c>
      <c r="C93" s="2" t="s">
        <v>1908</v>
      </c>
      <c r="D93" s="2" t="s">
        <v>1892</v>
      </c>
      <c r="E93" s="2" t="s">
        <v>1523</v>
      </c>
      <c r="F93" s="2" t="s">
        <v>1745</v>
      </c>
      <c r="G93" s="2" t="s">
        <v>2272</v>
      </c>
      <c r="H93" s="2" t="s">
        <v>1592</v>
      </c>
      <c r="I93" s="2" t="s">
        <v>2048</v>
      </c>
      <c r="J93" s="2" t="str">
        <f t="shared" si="10"/>
        <v>6.284</v>
      </c>
      <c r="K93" s="2" t="str">
        <f t="shared" si="11"/>
        <v xml:space="preserve"> 5,809</v>
      </c>
      <c r="L93" s="2" t="str">
        <f t="shared" si="12"/>
        <v>0.843</v>
      </c>
      <c r="M93" s="2" t="str">
        <f t="shared" si="13"/>
        <v>65.500</v>
      </c>
      <c r="N93" s="2" t="str">
        <f t="shared" si="14"/>
        <v>0.907</v>
      </c>
      <c r="O93" s="2" t="str">
        <f t="shared" si="15"/>
        <v>0.254</v>
      </c>
      <c r="P93" s="2" t="str">
        <f t="shared" si="16"/>
        <v>0.591</v>
      </c>
      <c r="Q93" s="2" t="str">
        <f t="shared" si="17"/>
        <v>0.788</v>
      </c>
      <c r="R93" s="2" t="str">
        <f t="shared" si="18"/>
        <v>0.322</v>
      </c>
    </row>
    <row r="94" spans="1:18" x14ac:dyDescent="0.35">
      <c r="A94" s="2" t="s">
        <v>2346</v>
      </c>
      <c r="B94" s="2" t="s">
        <v>2087</v>
      </c>
      <c r="C94" s="2" t="s">
        <v>2202</v>
      </c>
      <c r="D94" s="2" t="s">
        <v>2221</v>
      </c>
      <c r="E94" s="2" t="s">
        <v>1801</v>
      </c>
      <c r="F94" s="2" t="s">
        <v>2231</v>
      </c>
      <c r="G94" s="2" t="s">
        <v>1769</v>
      </c>
      <c r="H94" s="2" t="s">
        <v>1543</v>
      </c>
      <c r="I94" s="2" t="s">
        <v>1502</v>
      </c>
      <c r="J94" s="2" t="str">
        <f t="shared" si="10"/>
        <v>4.556</v>
      </c>
      <c r="K94" s="2" t="str">
        <f t="shared" si="11"/>
        <v xml:space="preserve"> 1,295</v>
      </c>
      <c r="L94" s="2" t="str">
        <f t="shared" si="12"/>
        <v>0.615</v>
      </c>
      <c r="M94" s="2" t="str">
        <f t="shared" si="13"/>
        <v>55.500</v>
      </c>
      <c r="N94" s="2" t="str">
        <f t="shared" si="14"/>
        <v>0.777</v>
      </c>
      <c r="O94" s="2" t="str">
        <f t="shared" si="15"/>
        <v>0.173</v>
      </c>
      <c r="P94" s="2" t="str">
        <f t="shared" si="16"/>
        <v>0.734</v>
      </c>
      <c r="Q94" s="2" t="str">
        <f t="shared" si="17"/>
        <v>0.764</v>
      </c>
      <c r="R94" s="2" t="str">
        <f t="shared" si="18"/>
        <v>0.392</v>
      </c>
    </row>
    <row r="95" spans="1:18" x14ac:dyDescent="0.35">
      <c r="A95" s="2" t="s">
        <v>2403</v>
      </c>
      <c r="B95" s="2" t="s">
        <v>2313</v>
      </c>
      <c r="C95" s="2" t="s">
        <v>1691</v>
      </c>
      <c r="D95" s="2" t="s">
        <v>2155</v>
      </c>
      <c r="E95" s="2" t="s">
        <v>2427</v>
      </c>
      <c r="F95" s="2" t="s">
        <v>2068</v>
      </c>
      <c r="G95" s="2" t="s">
        <v>1634</v>
      </c>
      <c r="H95" s="2" t="s">
        <v>1315</v>
      </c>
      <c r="I95" s="2" t="s">
        <v>2394</v>
      </c>
      <c r="J95" s="2" t="str">
        <f t="shared" si="10"/>
        <v>4.881</v>
      </c>
      <c r="K95" s="2" t="str">
        <f t="shared" si="11"/>
        <v xml:space="preserve"> 4,956</v>
      </c>
      <c r="L95" s="2" t="str">
        <f t="shared" si="12"/>
        <v>0.770</v>
      </c>
      <c r="M95" s="2" t="str">
        <f t="shared" si="13"/>
        <v>54.400</v>
      </c>
      <c r="N95" s="2" t="str">
        <f t="shared" si="14"/>
        <v>0.742</v>
      </c>
      <c r="O95" s="2" t="str">
        <f t="shared" si="15"/>
        <v>0.382</v>
      </c>
      <c r="P95" s="2" t="str">
        <f t="shared" si="16"/>
        <v>0.908</v>
      </c>
      <c r="Q95" s="2" t="str">
        <f t="shared" si="17"/>
        <v>0.716</v>
      </c>
      <c r="R95" s="2" t="str">
        <f t="shared" si="18"/>
        <v>0.237</v>
      </c>
    </row>
    <row r="96" spans="1:18" x14ac:dyDescent="0.35">
      <c r="A96" s="2" t="s">
        <v>1781</v>
      </c>
      <c r="B96" s="2" t="s">
        <v>1961</v>
      </c>
      <c r="C96" s="2" t="s">
        <v>1955</v>
      </c>
      <c r="D96" s="2" t="s">
        <v>1956</v>
      </c>
      <c r="E96" s="2" t="s">
        <v>1710</v>
      </c>
      <c r="F96" s="2" t="s">
        <v>1377</v>
      </c>
      <c r="G96" s="2" t="s">
        <v>1650</v>
      </c>
      <c r="H96" s="2" t="s">
        <v>2249</v>
      </c>
      <c r="I96" s="2" t="s">
        <v>1905</v>
      </c>
      <c r="J96" s="2" t="str">
        <f t="shared" si="10"/>
        <v>5.369</v>
      </c>
      <c r="K96" s="2" t="str">
        <f t="shared" si="11"/>
        <v xml:space="preserve"> 17,140</v>
      </c>
      <c r="L96" s="2" t="str">
        <f t="shared" si="12"/>
        <v>0.848</v>
      </c>
      <c r="M96" s="2" t="str">
        <f t="shared" si="13"/>
        <v>66.100</v>
      </c>
      <c r="N96" s="2" t="str">
        <f t="shared" si="14"/>
        <v>0.752</v>
      </c>
      <c r="O96" s="2" t="str">
        <f t="shared" si="15"/>
        <v>0.458</v>
      </c>
      <c r="P96" s="2" t="str">
        <f t="shared" si="16"/>
        <v>0.914</v>
      </c>
      <c r="Q96" s="2" t="str">
        <f t="shared" si="17"/>
        <v>0.546</v>
      </c>
      <c r="R96" s="2" t="str">
        <f t="shared" si="18"/>
        <v>0.284</v>
      </c>
    </row>
    <row r="97" spans="1:18" x14ac:dyDescent="0.35">
      <c r="A97" s="2" t="s">
        <v>1619</v>
      </c>
      <c r="B97" s="2" t="s">
        <v>1629</v>
      </c>
      <c r="C97" s="2" t="s">
        <v>1612</v>
      </c>
      <c r="D97" s="2" t="s">
        <v>1564</v>
      </c>
      <c r="E97" s="2" t="s">
        <v>1640</v>
      </c>
      <c r="F97" s="2" t="s">
        <v>1607</v>
      </c>
      <c r="G97" s="2" t="s">
        <v>2117</v>
      </c>
      <c r="H97" s="2" t="s">
        <v>1526</v>
      </c>
      <c r="I97" s="2" t="s">
        <v>2303</v>
      </c>
      <c r="J97" s="2" t="str">
        <f t="shared" si="10"/>
        <v>7.302</v>
      </c>
      <c r="K97" s="2" t="str">
        <f t="shared" si="11"/>
        <v xml:space="preserve"> 67,061</v>
      </c>
      <c r="L97" s="2" t="str">
        <f t="shared" si="12"/>
        <v>0.942</v>
      </c>
      <c r="M97" s="2" t="str">
        <f t="shared" si="13"/>
        <v>71.400</v>
      </c>
      <c r="N97" s="2" t="str">
        <f t="shared" si="14"/>
        <v>0.938</v>
      </c>
      <c r="O97" s="2" t="str">
        <f t="shared" si="15"/>
        <v>0.617</v>
      </c>
      <c r="P97" s="2" t="str">
        <f t="shared" si="16"/>
        <v>0.274</v>
      </c>
      <c r="Q97" s="2" t="str">
        <f t="shared" si="17"/>
        <v>0.762</v>
      </c>
      <c r="R97" s="2" t="str">
        <f t="shared" si="18"/>
        <v>0.215</v>
      </c>
    </row>
    <row r="98" spans="1:18" x14ac:dyDescent="0.35">
      <c r="A98" s="2" t="s">
        <v>2352</v>
      </c>
      <c r="B98" s="2" t="s">
        <v>2330</v>
      </c>
      <c r="C98" s="2" t="s">
        <v>2154</v>
      </c>
      <c r="D98" s="2" t="s">
        <v>2262</v>
      </c>
      <c r="E98" s="2" t="s">
        <v>2390</v>
      </c>
      <c r="F98" s="2" t="s">
        <v>1793</v>
      </c>
      <c r="G98" s="2" t="s">
        <v>1337</v>
      </c>
      <c r="H98" s="2" t="s">
        <v>2151</v>
      </c>
      <c r="I98" s="2" t="s">
        <v>1404</v>
      </c>
      <c r="J98" s="2" t="str">
        <f t="shared" si="10"/>
        <v>4.657</v>
      </c>
      <c r="K98" s="2" t="str">
        <f t="shared" si="11"/>
        <v xml:space="preserve"> 5,351</v>
      </c>
      <c r="L98" s="2" t="str">
        <f t="shared" si="12"/>
        <v>0.585</v>
      </c>
      <c r="M98" s="2" t="str">
        <f t="shared" si="13"/>
        <v>56.900</v>
      </c>
      <c r="N98" s="2" t="str">
        <f t="shared" si="14"/>
        <v>0.725</v>
      </c>
      <c r="O98" s="2" t="str">
        <f t="shared" si="15"/>
        <v>0.272</v>
      </c>
      <c r="P98" s="2" t="str">
        <f t="shared" si="16"/>
        <v>0.833</v>
      </c>
      <c r="Q98" s="2" t="str">
        <f t="shared" si="17"/>
        <v>0.497</v>
      </c>
      <c r="R98" s="2" t="str">
        <f t="shared" si="18"/>
        <v>0.364</v>
      </c>
    </row>
    <row r="99" spans="1:18" x14ac:dyDescent="0.35">
      <c r="A99" s="2" t="s">
        <v>1356</v>
      </c>
      <c r="B99" s="2" t="s">
        <v>1341</v>
      </c>
      <c r="C99" s="2" t="s">
        <v>1424</v>
      </c>
      <c r="D99" s="2" t="s">
        <v>1366</v>
      </c>
      <c r="E99" s="2" t="s">
        <v>1295</v>
      </c>
      <c r="F99" s="2" t="s">
        <v>2434</v>
      </c>
      <c r="G99" s="2" t="s">
        <v>1542</v>
      </c>
      <c r="H99" s="2" t="s">
        <v>1669</v>
      </c>
      <c r="I99" s="2" t="s">
        <v>2436</v>
      </c>
      <c r="J99" s="2" t="str">
        <f t="shared" si="10"/>
        <v>6.358</v>
      </c>
      <c r="K99" s="2" t="str">
        <f t="shared" si="11"/>
        <v xml:space="preserve"> 32,766</v>
      </c>
      <c r="L99" s="2" t="str">
        <f t="shared" si="12"/>
        <v>0.893</v>
      </c>
      <c r="M99" s="2" t="str">
        <f t="shared" si="13"/>
        <v>68.700</v>
      </c>
      <c r="N99" s="2" t="str">
        <f t="shared" si="14"/>
        <v>0.854</v>
      </c>
      <c r="O99" s="2" t="str">
        <f t="shared" si="15"/>
        <v>0.234</v>
      </c>
      <c r="P99" s="2" t="str">
        <f t="shared" si="16"/>
        <v>0.876</v>
      </c>
      <c r="Q99" s="2" t="str">
        <f t="shared" si="17"/>
        <v>0.829</v>
      </c>
      <c r="R99" s="2" t="str">
        <f t="shared" si="18"/>
        <v>0.243</v>
      </c>
    </row>
    <row r="100" spans="1:18" x14ac:dyDescent="0.35">
      <c r="A100" s="2" t="s">
        <v>2000</v>
      </c>
      <c r="B100" s="2" t="s">
        <v>1873</v>
      </c>
      <c r="C100" s="2" t="s">
        <v>1440</v>
      </c>
      <c r="D100" s="2" t="s">
        <v>1909</v>
      </c>
      <c r="E100" s="2" t="s">
        <v>1507</v>
      </c>
      <c r="F100" s="2" t="s">
        <v>1885</v>
      </c>
      <c r="G100" s="2" t="s">
        <v>1411</v>
      </c>
      <c r="H100" s="2" t="s">
        <v>1651</v>
      </c>
      <c r="I100" s="2" t="s">
        <v>2418</v>
      </c>
      <c r="J100" s="2" t="str">
        <f t="shared" si="10"/>
        <v>5.977</v>
      </c>
      <c r="K100" s="2" t="str">
        <f t="shared" si="11"/>
        <v xml:space="preserve"> 13,743</v>
      </c>
      <c r="L100" s="2" t="str">
        <f t="shared" si="12"/>
        <v>0.900</v>
      </c>
      <c r="M100" s="2" t="str">
        <f t="shared" si="13"/>
        <v>65.800</v>
      </c>
      <c r="N100" s="2" t="str">
        <f t="shared" si="14"/>
        <v>0.903</v>
      </c>
      <c r="O100" s="2" t="str">
        <f t="shared" si="15"/>
        <v>0.313</v>
      </c>
      <c r="P100" s="2" t="str">
        <f t="shared" si="16"/>
        <v>0.845</v>
      </c>
      <c r="Q100" s="2" t="str">
        <f t="shared" si="17"/>
        <v>0.820</v>
      </c>
      <c r="R100" s="2" t="str">
        <f t="shared" si="18"/>
        <v>0.242</v>
      </c>
    </row>
    <row r="101" spans="1:18" x14ac:dyDescent="0.35">
      <c r="A101" s="2" t="s">
        <v>1915</v>
      </c>
      <c r="B101" s="2" t="s">
        <v>1838</v>
      </c>
      <c r="C101" s="2" t="s">
        <v>1817</v>
      </c>
      <c r="D101" s="2" t="s">
        <v>1417</v>
      </c>
      <c r="E101" s="2" t="s">
        <v>1810</v>
      </c>
      <c r="F101" s="2" t="s">
        <v>2316</v>
      </c>
      <c r="G101" s="2" t="s">
        <v>1591</v>
      </c>
      <c r="H101" s="2" t="s">
        <v>1559</v>
      </c>
      <c r="I101" s="2" t="s">
        <v>1452</v>
      </c>
      <c r="J101" s="2" t="str">
        <f t="shared" si="10"/>
        <v>5.841</v>
      </c>
      <c r="K101" s="2" t="str">
        <f t="shared" si="11"/>
        <v xml:space="preserve"> 12,702</v>
      </c>
      <c r="L101" s="2" t="str">
        <f t="shared" si="12"/>
        <v>0.811</v>
      </c>
      <c r="M101" s="2" t="str">
        <f t="shared" si="13"/>
        <v>69.500</v>
      </c>
      <c r="N101" s="2" t="str">
        <f t="shared" si="14"/>
        <v>0.778</v>
      </c>
      <c r="O101" s="2" t="str">
        <f t="shared" si="15"/>
        <v>0.198</v>
      </c>
      <c r="P101" s="2" t="str">
        <f t="shared" si="16"/>
        <v>0.895</v>
      </c>
      <c r="Q101" s="2" t="str">
        <f t="shared" si="17"/>
        <v>0.769</v>
      </c>
      <c r="R101" s="2" t="str">
        <f t="shared" si="18"/>
        <v>0.372</v>
      </c>
    </row>
    <row r="102" spans="1:18" x14ac:dyDescent="0.35">
      <c r="A102" s="2" t="s">
        <v>2033</v>
      </c>
      <c r="B102" s="2" t="s">
        <v>1690</v>
      </c>
      <c r="C102" s="2" t="s">
        <v>1735</v>
      </c>
      <c r="D102" s="2" t="s">
        <v>1683</v>
      </c>
      <c r="E102" s="2" t="s">
        <v>1598</v>
      </c>
      <c r="F102" s="2" t="s">
        <v>2399</v>
      </c>
      <c r="G102" s="2" t="s">
        <v>1794</v>
      </c>
      <c r="H102" s="2" t="s">
        <v>1626</v>
      </c>
      <c r="I102" s="2" t="s">
        <v>2024</v>
      </c>
      <c r="J102" s="2" t="str">
        <f t="shared" si="10"/>
        <v>6.048</v>
      </c>
      <c r="K102" s="2" t="str">
        <f t="shared" si="11"/>
        <v xml:space="preserve"> 8,541</v>
      </c>
      <c r="L102" s="2" t="str">
        <f t="shared" si="12"/>
        <v>0.797</v>
      </c>
      <c r="M102" s="2" t="str">
        <f t="shared" si="13"/>
        <v>62.000</v>
      </c>
      <c r="N102" s="2" t="str">
        <f t="shared" si="14"/>
        <v>0.931</v>
      </c>
      <c r="O102" s="2" t="str">
        <f t="shared" si="15"/>
        <v>0.212</v>
      </c>
      <c r="P102" s="2" t="str">
        <f t="shared" si="16"/>
        <v>0.748</v>
      </c>
      <c r="Q102" s="2" t="str">
        <f t="shared" si="17"/>
        <v>0.808</v>
      </c>
      <c r="R102" s="2" t="str">
        <f t="shared" si="18"/>
        <v>0.316</v>
      </c>
    </row>
    <row r="103" spans="1:18" x14ac:dyDescent="0.35">
      <c r="A103" s="2" t="s">
        <v>1389</v>
      </c>
      <c r="B103" s="2" t="s">
        <v>1382</v>
      </c>
      <c r="C103" s="2" t="s">
        <v>1446</v>
      </c>
      <c r="D103" s="2" t="s">
        <v>1375</v>
      </c>
      <c r="E103" s="2" t="s">
        <v>1776</v>
      </c>
      <c r="F103" s="2" t="s">
        <v>1819</v>
      </c>
      <c r="G103" s="2" t="s">
        <v>2400</v>
      </c>
      <c r="H103" s="2" t="s">
        <v>1704</v>
      </c>
      <c r="I103" s="2" t="s">
        <v>2199</v>
      </c>
      <c r="J103" s="2" t="str">
        <f t="shared" si="10"/>
        <v>6.442</v>
      </c>
      <c r="K103" s="2" t="str">
        <f t="shared" si="11"/>
        <v xml:space="preserve"> 36,321</v>
      </c>
      <c r="L103" s="2" t="str">
        <f t="shared" si="12"/>
        <v>0.903</v>
      </c>
      <c r="M103" s="2" t="str">
        <f t="shared" si="13"/>
        <v>68.700</v>
      </c>
      <c r="N103" s="2" t="str">
        <f t="shared" si="14"/>
        <v>0.767</v>
      </c>
      <c r="O103" s="2" t="str">
        <f t="shared" si="15"/>
        <v>0.278</v>
      </c>
      <c r="P103" s="2" t="str">
        <f t="shared" si="16"/>
        <v>0.695</v>
      </c>
      <c r="Q103" s="2" t="str">
        <f t="shared" si="17"/>
        <v>0.619</v>
      </c>
      <c r="R103" s="2" t="str">
        <f t="shared" si="18"/>
        <v>0.193</v>
      </c>
    </row>
    <row r="104" spans="1:18" x14ac:dyDescent="0.35">
      <c r="A104" s="2" t="s">
        <v>2016</v>
      </c>
      <c r="B104" s="2" t="s">
        <v>1373</v>
      </c>
      <c r="C104" s="2" t="s">
        <v>1350</v>
      </c>
      <c r="D104" s="2" t="s">
        <v>1530</v>
      </c>
      <c r="E104" s="2" t="s">
        <v>1435</v>
      </c>
      <c r="F104" s="2" t="s">
        <v>2357</v>
      </c>
      <c r="G104" s="2" t="s">
        <v>1551</v>
      </c>
      <c r="H104" s="2" t="s">
        <v>1779</v>
      </c>
      <c r="I104" s="2" t="s">
        <v>1976</v>
      </c>
      <c r="J104" s="2" t="str">
        <f t="shared" si="10"/>
        <v>6.030</v>
      </c>
      <c r="K104" s="2" t="str">
        <f t="shared" si="11"/>
        <v xml:space="preserve"> 35,282</v>
      </c>
      <c r="L104" s="2" t="str">
        <f t="shared" si="12"/>
        <v>0.884</v>
      </c>
      <c r="M104" s="2" t="str">
        <f t="shared" si="13"/>
        <v>71.000</v>
      </c>
      <c r="N104" s="2" t="str">
        <f t="shared" si="14"/>
        <v>0.881</v>
      </c>
      <c r="O104" s="2" t="str">
        <f t="shared" si="15"/>
        <v>0.207</v>
      </c>
      <c r="P104" s="2" t="str">
        <f t="shared" si="16"/>
        <v>0.886</v>
      </c>
      <c r="Q104" s="2" t="str">
        <f t="shared" si="17"/>
        <v>0.643</v>
      </c>
      <c r="R104" s="2" t="str">
        <f t="shared" si="18"/>
        <v>0.303</v>
      </c>
    </row>
    <row r="105" spans="1:18" x14ac:dyDescent="0.35">
      <c r="A105" s="2" t="s">
        <v>1414</v>
      </c>
      <c r="B105" s="2" t="s">
        <v>1318</v>
      </c>
      <c r="C105" s="2" t="s">
        <v>1874</v>
      </c>
      <c r="D105" s="2" t="s">
        <v>2019</v>
      </c>
      <c r="E105" s="2" t="s">
        <v>2059</v>
      </c>
      <c r="F105" s="2" t="s">
        <v>2285</v>
      </c>
      <c r="G105" s="2" t="s">
        <v>1659</v>
      </c>
      <c r="H105" s="2" t="s">
        <v>1770</v>
      </c>
      <c r="I105" s="2" t="s">
        <v>1771</v>
      </c>
      <c r="J105" s="2" t="str">
        <f t="shared" si="10"/>
        <v>6.491</v>
      </c>
      <c r="K105" s="2" t="str">
        <f t="shared" si="11"/>
        <v xml:space="preserve"> 32,515</v>
      </c>
      <c r="L105" s="2" t="str">
        <f t="shared" si="12"/>
        <v>0.832</v>
      </c>
      <c r="M105" s="2" t="str">
        <f t="shared" si="13"/>
        <v>66.800</v>
      </c>
      <c r="N105" s="2" t="str">
        <f t="shared" si="14"/>
        <v>0.851</v>
      </c>
      <c r="O105" s="2" t="str">
        <f t="shared" si="15"/>
        <v>0.191</v>
      </c>
      <c r="P105" s="2" t="str">
        <f t="shared" si="16"/>
        <v>0.925</v>
      </c>
      <c r="Q105" s="2" t="str">
        <f t="shared" si="17"/>
        <v>0.642</v>
      </c>
      <c r="R105" s="2" t="str">
        <f t="shared" si="18"/>
        <v>0.261</v>
      </c>
    </row>
    <row r="106" spans="1:18" x14ac:dyDescent="0.35">
      <c r="A106" s="2" t="s">
        <v>1881</v>
      </c>
      <c r="B106" s="2" t="s">
        <v>1292</v>
      </c>
      <c r="C106" s="2" t="s">
        <v>1293</v>
      </c>
      <c r="D106" s="2" t="s">
        <v>1791</v>
      </c>
      <c r="E106" s="2" t="s">
        <v>2415</v>
      </c>
      <c r="F106" s="2" t="s">
        <v>2060</v>
      </c>
      <c r="G106" s="2" t="s">
        <v>1886</v>
      </c>
      <c r="H106" s="2" t="s">
        <v>2423</v>
      </c>
      <c r="I106" s="2" t="s">
        <v>2208</v>
      </c>
      <c r="J106" s="2" t="str">
        <f t="shared" si="10"/>
        <v>5.785</v>
      </c>
      <c r="K106" s="2" t="str">
        <f t="shared" si="11"/>
        <v xml:space="preserve"> 27,634</v>
      </c>
      <c r="L106" s="2" t="str">
        <f t="shared" si="12"/>
        <v>0.878</v>
      </c>
      <c r="M106" s="2" t="str">
        <f t="shared" si="13"/>
        <v>64.200</v>
      </c>
      <c r="N106" s="2" t="str">
        <f t="shared" si="14"/>
        <v>0.732</v>
      </c>
      <c r="O106" s="2" t="str">
        <f t="shared" si="15"/>
        <v>0.377</v>
      </c>
      <c r="P106" s="2" t="str">
        <f t="shared" si="16"/>
        <v>0.769</v>
      </c>
      <c r="Q106" s="2" t="str">
        <f t="shared" si="17"/>
        <v>0.607</v>
      </c>
      <c r="R106" s="2" t="str">
        <f t="shared" si="18"/>
        <v>0.197</v>
      </c>
    </row>
    <row r="107" spans="1:18" x14ac:dyDescent="0.35">
      <c r="A107" s="2" t="s">
        <v>2425</v>
      </c>
      <c r="B107" s="2" t="s">
        <v>2260</v>
      </c>
      <c r="C107" s="2" t="s">
        <v>2261</v>
      </c>
      <c r="D107" s="2" t="s">
        <v>2349</v>
      </c>
      <c r="E107" s="2" t="s">
        <v>1792</v>
      </c>
      <c r="F107" s="2" t="s">
        <v>1761</v>
      </c>
      <c r="G107" s="2" t="s">
        <v>1378</v>
      </c>
      <c r="H107" s="2" t="s">
        <v>1643</v>
      </c>
      <c r="I107" s="2" t="s">
        <v>1828</v>
      </c>
      <c r="J107" s="2" t="str">
        <f t="shared" si="10"/>
        <v>4.969</v>
      </c>
      <c r="K107" s="2" t="str">
        <f t="shared" si="11"/>
        <v xml:space="preserve"> 3,572</v>
      </c>
      <c r="L107" s="2" t="str">
        <f t="shared" si="12"/>
        <v>0.643</v>
      </c>
      <c r="M107" s="2" t="str">
        <f t="shared" si="13"/>
        <v>59.400</v>
      </c>
      <c r="N107" s="2" t="str">
        <f t="shared" si="14"/>
        <v>0.772</v>
      </c>
      <c r="O107" s="2" t="str">
        <f t="shared" si="15"/>
        <v>0.258</v>
      </c>
      <c r="P107" s="2" t="str">
        <f t="shared" si="16"/>
        <v>0.840</v>
      </c>
      <c r="Q107" s="2" t="str">
        <f t="shared" si="17"/>
        <v>0.814</v>
      </c>
      <c r="R107" s="2" t="str">
        <f t="shared" si="18"/>
        <v>0.270</v>
      </c>
    </row>
    <row r="108" spans="1:18" x14ac:dyDescent="0.35">
      <c r="A108" s="2" t="s">
        <v>1372</v>
      </c>
      <c r="B108" s="2" t="s">
        <v>2009</v>
      </c>
      <c r="C108" s="2" t="s">
        <v>1407</v>
      </c>
      <c r="D108" s="2" t="s">
        <v>2028</v>
      </c>
      <c r="E108" s="2" t="s">
        <v>1957</v>
      </c>
      <c r="F108" s="2" t="s">
        <v>1393</v>
      </c>
      <c r="G108" s="2" t="s">
        <v>1989</v>
      </c>
      <c r="H108" s="2" t="s">
        <v>2216</v>
      </c>
      <c r="I108" s="2" t="s">
        <v>1787</v>
      </c>
      <c r="J108" s="2" t="str">
        <f t="shared" si="10"/>
        <v>6.411</v>
      </c>
      <c r="K108" s="2" t="str">
        <f t="shared" si="11"/>
        <v xml:space="preserve"> 20,498</v>
      </c>
      <c r="L108" s="2" t="str">
        <f t="shared" si="12"/>
        <v>0.893</v>
      </c>
      <c r="M108" s="2" t="str">
        <f t="shared" si="13"/>
        <v>66.900</v>
      </c>
      <c r="N108" s="2" t="str">
        <f t="shared" si="14"/>
        <v>0.813</v>
      </c>
      <c r="O108" s="2" t="str">
        <f t="shared" si="15"/>
        <v>0.482</v>
      </c>
      <c r="P108" s="2" t="str">
        <f t="shared" si="16"/>
        <v>0.797</v>
      </c>
      <c r="Q108" s="2" t="str">
        <f t="shared" si="17"/>
        <v>0.536</v>
      </c>
      <c r="R108" s="2" t="str">
        <f t="shared" si="18"/>
        <v>0.264</v>
      </c>
    </row>
    <row r="109" spans="1:18" x14ac:dyDescent="0.35">
      <c r="A109" s="2" t="s">
        <v>2094</v>
      </c>
      <c r="B109" s="2" t="s">
        <v>2138</v>
      </c>
      <c r="C109" s="2" t="s">
        <v>2122</v>
      </c>
      <c r="D109" s="2" t="s">
        <v>2105</v>
      </c>
      <c r="E109" s="2" t="s">
        <v>2222</v>
      </c>
      <c r="F109" s="2" t="s">
        <v>1768</v>
      </c>
      <c r="G109" s="2" t="s">
        <v>1484</v>
      </c>
      <c r="H109" s="2" t="s">
        <v>2167</v>
      </c>
      <c r="I109" s="2" t="s">
        <v>1627</v>
      </c>
      <c r="J109" s="2" t="str">
        <f t="shared" si="10"/>
        <v>3.245</v>
      </c>
      <c r="K109" s="2" t="str">
        <f t="shared" si="11"/>
        <v xml:space="preserve"> 1,635</v>
      </c>
      <c r="L109" s="2" t="str">
        <f t="shared" si="12"/>
        <v>0.571</v>
      </c>
      <c r="M109" s="2" t="str">
        <f t="shared" si="13"/>
        <v>52.900</v>
      </c>
      <c r="N109" s="2" t="str">
        <f t="shared" si="14"/>
        <v>0.672</v>
      </c>
      <c r="O109" s="2" t="str">
        <f t="shared" si="15"/>
        <v>0.261</v>
      </c>
      <c r="P109" s="2" t="str">
        <f t="shared" si="16"/>
        <v>0.861</v>
      </c>
      <c r="Q109" s="2" t="str">
        <f t="shared" si="17"/>
        <v>0.512</v>
      </c>
      <c r="R109" s="2" t="str">
        <f t="shared" si="18"/>
        <v>0.461</v>
      </c>
    </row>
    <row r="110" spans="1:18" x14ac:dyDescent="0.35">
      <c r="A110" s="2" t="s">
        <v>1431</v>
      </c>
      <c r="B110" s="2" t="s">
        <v>1654</v>
      </c>
      <c r="C110" s="2" t="s">
        <v>1334</v>
      </c>
      <c r="D110" s="2" t="s">
        <v>1665</v>
      </c>
      <c r="E110" s="2" t="s">
        <v>1400</v>
      </c>
      <c r="F110" s="2" t="s">
        <v>1541</v>
      </c>
      <c r="G110" s="2" t="s">
        <v>2075</v>
      </c>
      <c r="H110" s="2" t="s">
        <v>1959</v>
      </c>
      <c r="I110" s="2" t="s">
        <v>2183</v>
      </c>
      <c r="J110" s="2" t="str">
        <f t="shared" si="10"/>
        <v>6.523</v>
      </c>
      <c r="K110" s="2" t="str">
        <f t="shared" si="11"/>
        <v>107,891</v>
      </c>
      <c r="L110" s="2" t="str">
        <f t="shared" si="12"/>
        <v>0.881</v>
      </c>
      <c r="M110" s="2" t="str">
        <f t="shared" si="13"/>
        <v>73.600</v>
      </c>
      <c r="N110" s="2" t="str">
        <f t="shared" si="14"/>
        <v>0.871</v>
      </c>
      <c r="O110" s="2" t="str">
        <f t="shared" si="15"/>
        <v>0.586</v>
      </c>
      <c r="P110" s="2" t="str">
        <f t="shared" si="16"/>
        <v>0.149</v>
      </c>
      <c r="Q110" s="2" t="str">
        <f t="shared" si="17"/>
        <v>0.684</v>
      </c>
      <c r="R110" s="2" t="str">
        <f t="shared" si="18"/>
        <v>0.187</v>
      </c>
    </row>
    <row r="111" spans="1:18" x14ac:dyDescent="0.35">
      <c r="A111" s="2" t="s">
        <v>1308</v>
      </c>
      <c r="B111" s="2" t="s">
        <v>1349</v>
      </c>
      <c r="C111" s="2" t="s">
        <v>1655</v>
      </c>
      <c r="D111" s="2" t="s">
        <v>1351</v>
      </c>
      <c r="E111" s="2" t="s">
        <v>2433</v>
      </c>
      <c r="F111" s="2" t="s">
        <v>1868</v>
      </c>
      <c r="G111" s="2" t="s">
        <v>1450</v>
      </c>
      <c r="H111" s="2" t="s">
        <v>1904</v>
      </c>
      <c r="I111" s="2" t="s">
        <v>1696</v>
      </c>
      <c r="J111" s="2" t="str">
        <f t="shared" si="10"/>
        <v>6.257</v>
      </c>
      <c r="K111" s="2" t="str">
        <f t="shared" si="11"/>
        <v xml:space="preserve"> 33,127</v>
      </c>
      <c r="L111" s="2" t="str">
        <f t="shared" si="12"/>
        <v>0.951</v>
      </c>
      <c r="M111" s="2" t="str">
        <f t="shared" si="13"/>
        <v>68.500</v>
      </c>
      <c r="N111" s="2" t="str">
        <f t="shared" si="14"/>
        <v>0.742</v>
      </c>
      <c r="O111" s="2" t="str">
        <f t="shared" si="15"/>
        <v>0.305</v>
      </c>
      <c r="P111" s="2" t="str">
        <f t="shared" si="16"/>
        <v>0.855</v>
      </c>
      <c r="Q111" s="2" t="str">
        <f t="shared" si="17"/>
        <v>0.668</v>
      </c>
      <c r="R111" s="2" t="str">
        <f t="shared" si="18"/>
        <v>0.246</v>
      </c>
    </row>
    <row r="112" spans="1:18" x14ac:dyDescent="0.35">
      <c r="A112" s="2" t="s">
        <v>1503</v>
      </c>
      <c r="B112" s="2" t="s">
        <v>1423</v>
      </c>
      <c r="C112" s="2" t="s">
        <v>1570</v>
      </c>
      <c r="D112" s="2" t="s">
        <v>1474</v>
      </c>
      <c r="E112" s="2" t="s">
        <v>1515</v>
      </c>
      <c r="F112" s="2" t="s">
        <v>1353</v>
      </c>
      <c r="G112" s="2" t="s">
        <v>1826</v>
      </c>
      <c r="H112" s="2" t="s">
        <v>1731</v>
      </c>
      <c r="I112" s="2" t="s">
        <v>1732</v>
      </c>
      <c r="J112" s="2" t="str">
        <f t="shared" si="10"/>
        <v>6.743</v>
      </c>
      <c r="K112" s="2" t="str">
        <f t="shared" si="11"/>
        <v xml:space="preserve"> 41,658</v>
      </c>
      <c r="L112" s="2" t="str">
        <f t="shared" si="12"/>
        <v>0.936</v>
      </c>
      <c r="M112" s="2" t="str">
        <f t="shared" si="13"/>
        <v>70.700</v>
      </c>
      <c r="N112" s="2" t="str">
        <f t="shared" si="14"/>
        <v>0.904</v>
      </c>
      <c r="O112" s="2" t="str">
        <f t="shared" si="15"/>
        <v>0.446</v>
      </c>
      <c r="P112" s="2" t="str">
        <f t="shared" si="16"/>
        <v>0.756</v>
      </c>
      <c r="Q112" s="2" t="str">
        <f t="shared" si="17"/>
        <v>0.627</v>
      </c>
      <c r="R112" s="2" t="str">
        <f t="shared" si="18"/>
        <v>0.253</v>
      </c>
    </row>
    <row r="113" spans="1:18" x14ac:dyDescent="0.35">
      <c r="A113" s="2" t="s">
        <v>1788</v>
      </c>
      <c r="B113" s="2" t="s">
        <v>1864</v>
      </c>
      <c r="C113" s="2" t="s">
        <v>1365</v>
      </c>
      <c r="D113" s="2" t="s">
        <v>2237</v>
      </c>
      <c r="E113" s="2" t="s">
        <v>2381</v>
      </c>
      <c r="F113" s="2" t="s">
        <v>2334</v>
      </c>
      <c r="G113" s="2" t="s">
        <v>1558</v>
      </c>
      <c r="H113" s="2" t="s">
        <v>1477</v>
      </c>
      <c r="I113" s="2" t="s">
        <v>2328</v>
      </c>
      <c r="J113" s="2" t="str">
        <f t="shared" si="10"/>
        <v>5.422</v>
      </c>
      <c r="K113" s="2" t="str">
        <f t="shared" si="11"/>
        <v xml:space="preserve"> 13,392</v>
      </c>
      <c r="L113" s="2" t="str">
        <f t="shared" si="12"/>
        <v>0.885</v>
      </c>
      <c r="M113" s="2" t="str">
        <f t="shared" si="13"/>
        <v>56.200</v>
      </c>
      <c r="N113" s="2" t="str">
        <f t="shared" si="14"/>
        <v>0.721</v>
      </c>
      <c r="O113" s="2" t="str">
        <f t="shared" si="15"/>
        <v>0.202</v>
      </c>
      <c r="P113" s="2" t="str">
        <f t="shared" si="16"/>
        <v>0.887</v>
      </c>
      <c r="Q113" s="2" t="str">
        <f t="shared" si="17"/>
        <v>0.747</v>
      </c>
      <c r="R113" s="2" t="str">
        <f t="shared" si="18"/>
        <v>0.221</v>
      </c>
    </row>
    <row r="114" spans="1:18" x14ac:dyDescent="0.35">
      <c r="A114" s="2" t="s">
        <v>2041</v>
      </c>
      <c r="B114" s="2" t="s">
        <v>1472</v>
      </c>
      <c r="C114" s="2" t="s">
        <v>1790</v>
      </c>
      <c r="D114" s="2" t="s">
        <v>1656</v>
      </c>
      <c r="E114" s="2" t="s">
        <v>2421</v>
      </c>
      <c r="F114" s="2" t="s">
        <v>1305</v>
      </c>
      <c r="G114" s="2" t="s">
        <v>1753</v>
      </c>
      <c r="H114" s="2" t="s">
        <v>2366</v>
      </c>
      <c r="I114" s="2" t="s">
        <v>2376</v>
      </c>
      <c r="J114" s="2" t="str">
        <f t="shared" si="10"/>
        <v>6.058</v>
      </c>
      <c r="K114" s="2" t="str">
        <f t="shared" si="11"/>
        <v xml:space="preserve"> 45,313</v>
      </c>
      <c r="L114" s="2" t="str">
        <f t="shared" si="12"/>
        <v>0.810</v>
      </c>
      <c r="M114" s="2" t="str">
        <f t="shared" si="13"/>
        <v>73.100</v>
      </c>
      <c r="N114" s="2" t="str">
        <f t="shared" si="14"/>
        <v>0.734</v>
      </c>
      <c r="O114" s="2" t="str">
        <f t="shared" si="15"/>
        <v>0.390</v>
      </c>
      <c r="P114" s="2" t="str">
        <f t="shared" si="16"/>
        <v>0.718</v>
      </c>
      <c r="Q114" s="2" t="str">
        <f t="shared" si="17"/>
        <v>0.586</v>
      </c>
      <c r="R114" s="2" t="str">
        <f t="shared" si="18"/>
        <v>0.233</v>
      </c>
    </row>
    <row r="115" spans="1:18" x14ac:dyDescent="0.35">
      <c r="A115" s="2" t="s">
        <v>1381</v>
      </c>
      <c r="B115" s="2" t="s">
        <v>1406</v>
      </c>
      <c r="C115" s="2" t="s">
        <v>1547</v>
      </c>
      <c r="D115" s="2" t="s">
        <v>1613</v>
      </c>
      <c r="E115" s="2" t="s">
        <v>1818</v>
      </c>
      <c r="F115" s="2" t="s">
        <v>2037</v>
      </c>
      <c r="G115" s="2" t="s">
        <v>2392</v>
      </c>
      <c r="H115" s="2" t="s">
        <v>1786</v>
      </c>
      <c r="I115" s="2" t="s">
        <v>2055</v>
      </c>
      <c r="J115" s="2" t="str">
        <f t="shared" si="10"/>
        <v>6.421</v>
      </c>
      <c r="K115" s="2" t="str">
        <f t="shared" si="11"/>
        <v xml:space="preserve"> 39,406</v>
      </c>
      <c r="L115" s="2" t="str">
        <f t="shared" si="12"/>
        <v>0.924</v>
      </c>
      <c r="M115" s="2" t="str">
        <f t="shared" si="13"/>
        <v>72.100</v>
      </c>
      <c r="N115" s="2" t="str">
        <f t="shared" si="14"/>
        <v>0.781</v>
      </c>
      <c r="O115" s="2" t="str">
        <f t="shared" si="15"/>
        <v>0.363</v>
      </c>
      <c r="P115" s="2" t="str">
        <f t="shared" si="16"/>
        <v>0.692</v>
      </c>
      <c r="Q115" s="2" t="str">
        <f t="shared" si="17"/>
        <v>0.643</v>
      </c>
      <c r="R115" s="2" t="str">
        <f t="shared" si="18"/>
        <v>0.323</v>
      </c>
    </row>
    <row r="116" spans="1:18" x14ac:dyDescent="0.35">
      <c r="A116" s="2" t="s">
        <v>2192</v>
      </c>
      <c r="B116" s="2" t="s">
        <v>1807</v>
      </c>
      <c r="C116" s="2" t="s">
        <v>1799</v>
      </c>
      <c r="D116" s="2" t="s">
        <v>2051</v>
      </c>
      <c r="E116" s="2" t="s">
        <v>1728</v>
      </c>
      <c r="F116" s="2" t="s">
        <v>1951</v>
      </c>
      <c r="G116" s="2" t="s">
        <v>1566</v>
      </c>
      <c r="H116" s="2" t="s">
        <v>1338</v>
      </c>
      <c r="I116" s="2" t="s">
        <v>2062</v>
      </c>
      <c r="J116" s="2" t="str">
        <f t="shared" si="10"/>
        <v>3.898</v>
      </c>
      <c r="K116" s="2" t="str">
        <f t="shared" si="11"/>
        <v xml:space="preserve"> 12,356</v>
      </c>
      <c r="L116" s="2" t="str">
        <f t="shared" si="12"/>
        <v>0.810</v>
      </c>
      <c r="M116" s="2" t="str">
        <f t="shared" si="13"/>
        <v>67.000</v>
      </c>
      <c r="N116" s="2" t="str">
        <f t="shared" si="14"/>
        <v>0.755</v>
      </c>
      <c r="O116" s="2" t="str">
        <f t="shared" si="15"/>
        <v>0.331</v>
      </c>
      <c r="P116" s="2" t="str">
        <f t="shared" si="16"/>
        <v>0.892</v>
      </c>
      <c r="Q116" s="2" t="str">
        <f t="shared" si="17"/>
        <v>0.720</v>
      </c>
      <c r="R116" s="2" t="str">
        <f t="shared" si="18"/>
        <v>0.326</v>
      </c>
    </row>
    <row r="117" spans="1:18" x14ac:dyDescent="0.35">
      <c r="A117" s="2" t="s">
        <v>1645</v>
      </c>
      <c r="B117" s="2" t="s">
        <v>1569</v>
      </c>
      <c r="C117" s="2" t="s">
        <v>1563</v>
      </c>
      <c r="D117" s="2" t="s">
        <v>1597</v>
      </c>
      <c r="E117" s="2" t="s">
        <v>1648</v>
      </c>
      <c r="F117" s="2" t="s">
        <v>1565</v>
      </c>
      <c r="G117" s="2" t="s">
        <v>2100</v>
      </c>
      <c r="H117" s="2" t="s">
        <v>1485</v>
      </c>
      <c r="I117" s="2" t="s">
        <v>2175</v>
      </c>
      <c r="J117" s="2" t="str">
        <f t="shared" si="10"/>
        <v>7.344</v>
      </c>
      <c r="K117" s="2" t="str">
        <f t="shared" si="11"/>
        <v xml:space="preserve"> 54,291</v>
      </c>
      <c r="L117" s="2" t="str">
        <f t="shared" si="12"/>
        <v>0.936</v>
      </c>
      <c r="M117" s="2" t="str">
        <f t="shared" si="13"/>
        <v>71.900</v>
      </c>
      <c r="N117" s="2" t="str">
        <f t="shared" si="14"/>
        <v>0.940</v>
      </c>
      <c r="O117" s="2" t="str">
        <f t="shared" si="15"/>
        <v>0.596</v>
      </c>
      <c r="P117" s="2" t="str">
        <f t="shared" si="16"/>
        <v>0.219</v>
      </c>
      <c r="Q117" s="2" t="str">
        <f t="shared" si="17"/>
        <v>0.751</v>
      </c>
      <c r="R117" s="2" t="str">
        <f t="shared" si="18"/>
        <v>0.183</v>
      </c>
    </row>
    <row r="118" spans="1:18" x14ac:dyDescent="0.35">
      <c r="A118" s="2" t="s">
        <v>1603</v>
      </c>
      <c r="B118" s="2" t="s">
        <v>1637</v>
      </c>
      <c r="C118" s="2" t="s">
        <v>1455</v>
      </c>
      <c r="D118" s="2" t="s">
        <v>1647</v>
      </c>
      <c r="E118" s="2" t="s">
        <v>1448</v>
      </c>
      <c r="F118" s="2" t="s">
        <v>1436</v>
      </c>
      <c r="G118" s="2" t="s">
        <v>2108</v>
      </c>
      <c r="H118" s="2" t="s">
        <v>1387</v>
      </c>
      <c r="I118" s="2" t="s">
        <v>2159</v>
      </c>
      <c r="J118" s="2" t="str">
        <f t="shared" si="10"/>
        <v>7.060</v>
      </c>
      <c r="K118" s="2" t="str">
        <f t="shared" si="11"/>
        <v xml:space="preserve"> 70,670</v>
      </c>
      <c r="L118" s="2" t="str">
        <f t="shared" si="12"/>
        <v>0.906</v>
      </c>
      <c r="M118" s="2" t="str">
        <f t="shared" si="13"/>
        <v>72.500</v>
      </c>
      <c r="N118" s="2" t="str">
        <f t="shared" si="14"/>
        <v>0.882</v>
      </c>
      <c r="O118" s="2" t="str">
        <f t="shared" si="15"/>
        <v>0.516</v>
      </c>
      <c r="P118" s="2" t="str">
        <f t="shared" si="16"/>
        <v>0.255</v>
      </c>
      <c r="Q118" s="2" t="str">
        <f t="shared" si="17"/>
        <v>0.734</v>
      </c>
      <c r="R118" s="2" t="str">
        <f t="shared" si="18"/>
        <v>0.182</v>
      </c>
    </row>
    <row r="119" spans="1:18" x14ac:dyDescent="0.35">
      <c r="A119" s="2" t="s">
        <v>2168</v>
      </c>
      <c r="B119" s="2" t="s">
        <v>2210</v>
      </c>
      <c r="C119" s="2" t="s">
        <v>2245</v>
      </c>
      <c r="D119" s="2" t="s">
        <v>2332</v>
      </c>
      <c r="E119" s="2" t="s">
        <v>2045</v>
      </c>
      <c r="F119" s="2" t="s">
        <v>1911</v>
      </c>
      <c r="G119" s="2" t="s">
        <v>2248</v>
      </c>
      <c r="H119" s="2" t="s">
        <v>1975</v>
      </c>
      <c r="I119" s="2" t="s">
        <v>2311</v>
      </c>
      <c r="J119" s="2" t="str">
        <f t="shared" si="10"/>
        <v>3.781</v>
      </c>
      <c r="K119" s="2" t="str">
        <f t="shared" si="11"/>
        <v xml:space="preserve"> 2,628</v>
      </c>
      <c r="L119" s="2" t="str">
        <f t="shared" si="12"/>
        <v>0.626</v>
      </c>
      <c r="M119" s="2" t="str">
        <f t="shared" si="13"/>
        <v>58.500</v>
      </c>
      <c r="N119" s="2" t="str">
        <f t="shared" si="14"/>
        <v>0.846</v>
      </c>
      <c r="O119" s="2" t="str">
        <f t="shared" si="15"/>
        <v>0.318</v>
      </c>
      <c r="P119" s="2" t="str">
        <f t="shared" si="16"/>
        <v>0.583</v>
      </c>
      <c r="Q119" s="2" t="str">
        <f t="shared" si="17"/>
        <v>0.687</v>
      </c>
      <c r="R119" s="2" t="str">
        <f t="shared" si="18"/>
        <v>0.218</v>
      </c>
    </row>
    <row r="120" spans="1:18" x14ac:dyDescent="0.35">
      <c r="A120" s="2" t="s">
        <v>1991</v>
      </c>
      <c r="B120" s="2" t="s">
        <v>1969</v>
      </c>
      <c r="C120" s="2" t="s">
        <v>2065</v>
      </c>
      <c r="D120" s="2" t="s">
        <v>1320</v>
      </c>
      <c r="E120" s="2" t="s">
        <v>1418</v>
      </c>
      <c r="F120" s="2" t="s">
        <v>1624</v>
      </c>
      <c r="G120" s="2" t="s">
        <v>1625</v>
      </c>
      <c r="H120" s="2" t="s">
        <v>1567</v>
      </c>
      <c r="I120" s="2" t="s">
        <v>2430</v>
      </c>
      <c r="J120" s="2" t="str">
        <f t="shared" si="10"/>
        <v>5.976</v>
      </c>
      <c r="K120" s="2" t="str">
        <f t="shared" si="11"/>
        <v xml:space="preserve"> 17,582</v>
      </c>
      <c r="L120" s="2" t="str">
        <f t="shared" si="12"/>
        <v>0.876</v>
      </c>
      <c r="M120" s="2" t="str">
        <f t="shared" si="13"/>
        <v>68.300</v>
      </c>
      <c r="N120" s="2" t="str">
        <f t="shared" si="14"/>
        <v>0.880</v>
      </c>
      <c r="O120" s="2" t="str">
        <f t="shared" si="15"/>
        <v>0.644</v>
      </c>
      <c r="P120" s="2" t="str">
        <f t="shared" si="16"/>
        <v>0.901</v>
      </c>
      <c r="Q120" s="2" t="str">
        <f t="shared" si="17"/>
        <v>0.770</v>
      </c>
      <c r="R120" s="2" t="str">
        <f t="shared" si="18"/>
        <v>0.243</v>
      </c>
    </row>
    <row r="121" spans="1:18" x14ac:dyDescent="0.35">
      <c r="A121" s="2" t="s">
        <v>2227</v>
      </c>
      <c r="B121" s="2" t="s">
        <v>2177</v>
      </c>
      <c r="C121" s="2" t="s">
        <v>2148</v>
      </c>
      <c r="D121" s="2" t="s">
        <v>2246</v>
      </c>
      <c r="E121" s="2" t="s">
        <v>2204</v>
      </c>
      <c r="F121" s="2" t="s">
        <v>2239</v>
      </c>
      <c r="G121" s="2" t="s">
        <v>1762</v>
      </c>
      <c r="H121" s="2" t="s">
        <v>2393</v>
      </c>
      <c r="I121" s="2" t="s">
        <v>1527</v>
      </c>
      <c r="J121" s="2" t="str">
        <f t="shared" si="10"/>
        <v>4.214</v>
      </c>
      <c r="K121" s="2" t="str">
        <f t="shared" si="11"/>
        <v xml:space="preserve"> 2,203</v>
      </c>
      <c r="L121" s="2" t="str">
        <f t="shared" si="12"/>
        <v>0.579</v>
      </c>
      <c r="M121" s="2" t="str">
        <f t="shared" si="13"/>
        <v>56.200</v>
      </c>
      <c r="N121" s="2" t="str">
        <f t="shared" si="14"/>
        <v>0.660</v>
      </c>
      <c r="O121" s="2" t="str">
        <f t="shared" si="15"/>
        <v>0.174</v>
      </c>
      <c r="P121" s="2" t="str">
        <f t="shared" si="16"/>
        <v>0.721</v>
      </c>
      <c r="Q121" s="2" t="str">
        <f t="shared" si="17"/>
        <v>0.591</v>
      </c>
      <c r="R121" s="2" t="str">
        <f t="shared" si="18"/>
        <v>0.399</v>
      </c>
    </row>
    <row r="122" spans="1:18" x14ac:dyDescent="0.35">
      <c r="A122" s="2" t="s">
        <v>2295</v>
      </c>
      <c r="B122" s="2" t="s">
        <v>1757</v>
      </c>
      <c r="C122" s="2" t="s">
        <v>2370</v>
      </c>
      <c r="D122" s="2" t="s">
        <v>2036</v>
      </c>
      <c r="E122" s="2" t="s">
        <v>2124</v>
      </c>
      <c r="F122" s="2" t="s">
        <v>2091</v>
      </c>
      <c r="G122" s="2" t="s">
        <v>1642</v>
      </c>
      <c r="H122" s="2" t="s">
        <v>2135</v>
      </c>
      <c r="I122" s="2" t="s">
        <v>1316</v>
      </c>
      <c r="J122" s="2" t="str">
        <f t="shared" si="10"/>
        <v>4.422</v>
      </c>
      <c r="K122" s="2" t="str">
        <f t="shared" si="11"/>
        <v xml:space="preserve"> 10,571</v>
      </c>
      <c r="L122" s="2" t="str">
        <f t="shared" si="12"/>
        <v>0.723</v>
      </c>
      <c r="M122" s="2" t="str">
        <f t="shared" si="13"/>
        <v>66.900</v>
      </c>
      <c r="N122" s="2" t="str">
        <f t="shared" si="14"/>
        <v>0.516</v>
      </c>
      <c r="O122" s="2" t="str">
        <f t="shared" si="15"/>
        <v>0.074</v>
      </c>
      <c r="P122" s="2" t="str">
        <f t="shared" si="16"/>
        <v>0.909</v>
      </c>
      <c r="Q122" s="2" t="str">
        <f t="shared" si="17"/>
        <v>0.458</v>
      </c>
      <c r="R122" s="2" t="str">
        <f t="shared" si="18"/>
        <v>0.334</v>
      </c>
    </row>
    <row r="123" spans="1:18" x14ac:dyDescent="0.35">
      <c r="A123" s="2" t="s">
        <v>2431</v>
      </c>
      <c r="B123" s="2" t="s">
        <v>1333</v>
      </c>
      <c r="C123" s="2" t="s">
        <v>1783</v>
      </c>
      <c r="D123" s="2" t="s">
        <v>1326</v>
      </c>
      <c r="E123" s="2" t="s">
        <v>2098</v>
      </c>
      <c r="F123" s="2" t="s">
        <v>1711</v>
      </c>
      <c r="G123" s="2" t="s">
        <v>1944</v>
      </c>
      <c r="H123" s="2" t="s">
        <v>2093</v>
      </c>
      <c r="I123" s="2" t="s">
        <v>1553</v>
      </c>
      <c r="J123" s="2" t="str">
        <f t="shared" si="10"/>
        <v>4.975</v>
      </c>
      <c r="K123" s="2" t="str">
        <f t="shared" si="11"/>
        <v xml:space="preserve"> 32,753</v>
      </c>
      <c r="L123" s="2" t="str">
        <f t="shared" si="12"/>
        <v>0.809</v>
      </c>
      <c r="M123" s="2" t="str">
        <f t="shared" si="13"/>
        <v>68.400</v>
      </c>
      <c r="N123" s="2" t="str">
        <f t="shared" si="14"/>
        <v>0.478</v>
      </c>
      <c r="O123" s="2" t="str">
        <f t="shared" si="15"/>
        <v>0.245</v>
      </c>
      <c r="P123" s="2" t="str">
        <f t="shared" si="16"/>
        <v>0.777</v>
      </c>
      <c r="Q123" s="2" t="str">
        <f t="shared" si="17"/>
        <v>0.318</v>
      </c>
      <c r="R123" s="2" t="str">
        <f t="shared" si="18"/>
        <v>0.403</v>
      </c>
    </row>
    <row r="124" spans="1:18" x14ac:dyDescent="0.35">
      <c r="A124" s="2" t="s">
        <v>2281</v>
      </c>
      <c r="B124" s="2" t="s">
        <v>2193</v>
      </c>
      <c r="C124" s="2" t="s">
        <v>1749</v>
      </c>
      <c r="D124" s="2" t="s">
        <v>2323</v>
      </c>
      <c r="E124" s="2" t="s">
        <v>1751</v>
      </c>
      <c r="F124" s="2" t="s">
        <v>1825</v>
      </c>
      <c r="G124" s="2" t="s">
        <v>1476</v>
      </c>
      <c r="H124" s="2" t="s">
        <v>2070</v>
      </c>
      <c r="I124" s="2" t="s">
        <v>1511</v>
      </c>
      <c r="J124" s="2" t="str">
        <f t="shared" si="10"/>
        <v>4.372</v>
      </c>
      <c r="K124" s="2" t="str">
        <f t="shared" si="11"/>
        <v xml:space="preserve"> 2,290</v>
      </c>
      <c r="L124" s="2" t="str">
        <f t="shared" si="12"/>
        <v>0.799</v>
      </c>
      <c r="M124" s="2" t="str">
        <f t="shared" si="13"/>
        <v>58.200</v>
      </c>
      <c r="N124" s="2" t="str">
        <f t="shared" si="14"/>
        <v>0.758</v>
      </c>
      <c r="O124" s="2" t="str">
        <f t="shared" si="15"/>
        <v>0.279</v>
      </c>
      <c r="P124" s="2" t="str">
        <f t="shared" si="16"/>
        <v>0.860</v>
      </c>
      <c r="Q124" s="2" t="str">
        <f t="shared" si="17"/>
        <v>0.711</v>
      </c>
      <c r="R124" s="2" t="str">
        <f t="shared" si="18"/>
        <v>0.393</v>
      </c>
    </row>
    <row r="125" spans="1:18" x14ac:dyDescent="0.35">
      <c r="A125" s="2" t="s">
        <v>2377</v>
      </c>
      <c r="B125" s="2" t="s">
        <v>1789</v>
      </c>
      <c r="C125" s="2" t="s">
        <v>1985</v>
      </c>
      <c r="D125" s="2" t="s">
        <v>1800</v>
      </c>
      <c r="E125" s="2" t="s">
        <v>1849</v>
      </c>
      <c r="F125" s="2" t="s">
        <v>1615</v>
      </c>
      <c r="G125" s="2" t="s">
        <v>1616</v>
      </c>
      <c r="H125" s="2" t="s">
        <v>2198</v>
      </c>
      <c r="I125" s="2" t="s">
        <v>1339</v>
      </c>
      <c r="J125" s="2" t="str">
        <f t="shared" si="10"/>
        <v>4.873</v>
      </c>
      <c r="K125" s="2" t="str">
        <f t="shared" si="11"/>
        <v xml:space="preserve"> 11,971</v>
      </c>
      <c r="L125" s="2" t="str">
        <f t="shared" si="12"/>
        <v>0.863</v>
      </c>
      <c r="M125" s="2" t="str">
        <f t="shared" si="13"/>
        <v>64.300</v>
      </c>
      <c r="N125" s="2" t="str">
        <f t="shared" si="14"/>
        <v>0.789</v>
      </c>
      <c r="O125" s="2" t="str">
        <f t="shared" si="15"/>
        <v>0.620</v>
      </c>
      <c r="P125" s="2" t="str">
        <f t="shared" si="16"/>
        <v>0.899</v>
      </c>
      <c r="Q125" s="2" t="str">
        <f t="shared" si="17"/>
        <v>0.531</v>
      </c>
      <c r="R125" s="2" t="str">
        <f t="shared" si="18"/>
        <v>0.340</v>
      </c>
    </row>
    <row r="126" spans="1:18" x14ac:dyDescent="0.35">
      <c r="A126" s="2" t="s">
        <v>1512</v>
      </c>
      <c r="B126" s="2" t="s">
        <v>1488</v>
      </c>
      <c r="C126" s="2" t="s">
        <v>2027</v>
      </c>
      <c r="D126" s="2" t="s">
        <v>1447</v>
      </c>
      <c r="E126" s="2" t="s">
        <v>2052</v>
      </c>
      <c r="F126" s="2" t="s">
        <v>1649</v>
      </c>
      <c r="G126" s="2" t="s">
        <v>2189</v>
      </c>
      <c r="H126" s="2" t="s">
        <v>2039</v>
      </c>
      <c r="I126" s="2" t="s">
        <v>1822</v>
      </c>
      <c r="J126" s="2" t="str">
        <f t="shared" si="10"/>
        <v>6.749</v>
      </c>
      <c r="K126" s="2" t="str">
        <f t="shared" si="11"/>
        <v xml:space="preserve"> 46,260</v>
      </c>
      <c r="L126" s="2" t="str">
        <f t="shared" si="12"/>
        <v>0.868</v>
      </c>
      <c r="M126" s="2" t="str">
        <f t="shared" si="13"/>
        <v>70.100</v>
      </c>
      <c r="N126" s="2" t="str">
        <f t="shared" si="14"/>
        <v>0.849</v>
      </c>
      <c r="O126" s="2" t="str">
        <f t="shared" si="15"/>
        <v>0.677</v>
      </c>
      <c r="P126" s="2" t="str">
        <f t="shared" si="16"/>
        <v>0.455</v>
      </c>
      <c r="Q126" s="2" t="str">
        <f t="shared" si="17"/>
        <v>0.709</v>
      </c>
      <c r="R126" s="2" t="str">
        <f t="shared" si="18"/>
        <v>0.269</v>
      </c>
    </row>
    <row r="127" spans="1:18" x14ac:dyDescent="0.35">
      <c r="A127" s="2" t="s">
        <v>1487</v>
      </c>
      <c r="B127" s="2" t="s">
        <v>1620</v>
      </c>
      <c r="C127" s="2" t="s">
        <v>1416</v>
      </c>
      <c r="D127" s="2" t="s">
        <v>1962</v>
      </c>
      <c r="E127" s="2" t="s">
        <v>1744</v>
      </c>
      <c r="F127" s="2" t="s">
        <v>1590</v>
      </c>
      <c r="G127" s="2" t="s">
        <v>1703</v>
      </c>
      <c r="H127" s="2" t="s">
        <v>1330</v>
      </c>
      <c r="I127" s="2" t="s">
        <v>1853</v>
      </c>
      <c r="J127" s="2" t="str">
        <f t="shared" si="10"/>
        <v>6.725</v>
      </c>
      <c r="K127" s="2" t="str">
        <f t="shared" si="11"/>
        <v xml:space="preserve"> 64,595</v>
      </c>
      <c r="L127" s="2" t="str">
        <f t="shared" si="12"/>
        <v>0.893</v>
      </c>
      <c r="M127" s="2" t="str">
        <f t="shared" si="13"/>
        <v>66.100</v>
      </c>
      <c r="N127" s="2" t="str">
        <f t="shared" si="14"/>
        <v>0.757</v>
      </c>
      <c r="O127" s="2" t="str">
        <f t="shared" si="15"/>
        <v>0.613</v>
      </c>
      <c r="P127" s="2" t="str">
        <f t="shared" si="16"/>
        <v>0.703</v>
      </c>
      <c r="Q127" s="2" t="str">
        <f t="shared" si="17"/>
        <v>0.719</v>
      </c>
      <c r="R127" s="2" t="str">
        <f t="shared" si="18"/>
        <v>0.277</v>
      </c>
    </row>
    <row r="128" spans="1:18" x14ac:dyDescent="0.35">
      <c r="A128" s="2" t="s">
        <v>1462</v>
      </c>
      <c r="B128" s="2" t="s">
        <v>2050</v>
      </c>
      <c r="C128" s="2" t="s">
        <v>1464</v>
      </c>
      <c r="D128" s="2" t="s">
        <v>1303</v>
      </c>
      <c r="E128" s="2" t="s">
        <v>1475</v>
      </c>
      <c r="F128" s="2" t="s">
        <v>1850</v>
      </c>
      <c r="G128" s="2" t="s">
        <v>2280</v>
      </c>
      <c r="H128" s="2" t="s">
        <v>1510</v>
      </c>
      <c r="I128" s="2" t="s">
        <v>1796</v>
      </c>
      <c r="J128" s="2" t="str">
        <f t="shared" si="10"/>
        <v>6.611</v>
      </c>
      <c r="K128" s="2" t="str">
        <f t="shared" si="11"/>
        <v xml:space="preserve"> 24,182</v>
      </c>
      <c r="L128" s="2" t="str">
        <f t="shared" si="12"/>
        <v>0.909</v>
      </c>
      <c r="M128" s="2" t="str">
        <f t="shared" si="13"/>
        <v>67.500</v>
      </c>
      <c r="N128" s="2" t="str">
        <f t="shared" si="14"/>
        <v>0.894</v>
      </c>
      <c r="O128" s="2" t="str">
        <f t="shared" si="15"/>
        <v>0.302</v>
      </c>
      <c r="P128" s="2" t="str">
        <f t="shared" si="16"/>
        <v>0.633</v>
      </c>
      <c r="Q128" s="2" t="str">
        <f t="shared" si="17"/>
        <v>0.759</v>
      </c>
      <c r="R128" s="2" t="str">
        <f t="shared" si="18"/>
        <v>0.265</v>
      </c>
    </row>
    <row r="129" spans="1:18" x14ac:dyDescent="0.35">
      <c r="A129" s="2" t="s">
        <v>1291</v>
      </c>
      <c r="B129" s="2" t="s">
        <v>2404</v>
      </c>
      <c r="C129" s="2" t="s">
        <v>1433</v>
      </c>
      <c r="D129" s="2" t="s">
        <v>1831</v>
      </c>
      <c r="E129" s="2" t="s">
        <v>1632</v>
      </c>
      <c r="F129" s="2" t="s">
        <v>1442</v>
      </c>
      <c r="G129" s="2" t="s">
        <v>2292</v>
      </c>
      <c r="H129" s="2" t="s">
        <v>1379</v>
      </c>
      <c r="I129" s="2" t="s">
        <v>2319</v>
      </c>
      <c r="J129" s="2" t="str">
        <f t="shared" si="10"/>
        <v>6.195</v>
      </c>
      <c r="K129" s="2" t="str">
        <f t="shared" si="11"/>
        <v xml:space="preserve"> 8,060</v>
      </c>
      <c r="L129" s="2" t="str">
        <f t="shared" si="12"/>
        <v>0.894</v>
      </c>
      <c r="M129" s="2" t="str">
        <f t="shared" si="13"/>
        <v>64.700</v>
      </c>
      <c r="N129" s="2" t="str">
        <f t="shared" si="14"/>
        <v>0.937</v>
      </c>
      <c r="O129" s="2" t="str">
        <f t="shared" si="15"/>
        <v>0.521</v>
      </c>
      <c r="P129" s="2" t="str">
        <f t="shared" si="16"/>
        <v>0.641</v>
      </c>
      <c r="Q129" s="2" t="str">
        <f t="shared" si="17"/>
        <v>0.732</v>
      </c>
      <c r="R129" s="2" t="str">
        <f t="shared" si="18"/>
        <v>0.221</v>
      </c>
    </row>
    <row r="130" spans="1:18" x14ac:dyDescent="0.35">
      <c r="A130" s="2" t="s">
        <v>2025</v>
      </c>
      <c r="B130" s="2" t="s">
        <v>1782</v>
      </c>
      <c r="C130" s="2" t="s">
        <v>1917</v>
      </c>
      <c r="D130" s="2" t="s">
        <v>1875</v>
      </c>
      <c r="E130" s="2" t="s">
        <v>1657</v>
      </c>
      <c r="F130" s="2" t="s">
        <v>2422</v>
      </c>
      <c r="G130" s="2" t="s">
        <v>1738</v>
      </c>
      <c r="H130" s="2" t="s">
        <v>1298</v>
      </c>
      <c r="I130" s="2" t="s">
        <v>2110</v>
      </c>
      <c r="J130" s="2" t="str">
        <f t="shared" si="10"/>
        <v>6.043</v>
      </c>
      <c r="K130" s="2" t="str">
        <f t="shared" si="11"/>
        <v xml:space="preserve"> 11,324</v>
      </c>
      <c r="L130" s="2" t="str">
        <f t="shared" si="12"/>
        <v>0.845</v>
      </c>
      <c r="M130" s="2" t="str">
        <f t="shared" si="13"/>
        <v>65.300</v>
      </c>
      <c r="N130" s="2" t="str">
        <f t="shared" si="14"/>
        <v>0.943</v>
      </c>
      <c r="O130" s="2" t="str">
        <f t="shared" si="15"/>
        <v>0.224</v>
      </c>
      <c r="P130" s="2" t="str">
        <f t="shared" si="16"/>
        <v>0.716</v>
      </c>
      <c r="Q130" s="2" t="str">
        <f t="shared" si="17"/>
        <v>0.713</v>
      </c>
      <c r="R130" s="2" t="str">
        <f t="shared" si="18"/>
        <v>0.169</v>
      </c>
    </row>
    <row r="131" spans="1:18" x14ac:dyDescent="0.35">
      <c r="A131" s="2" t="s">
        <v>2146</v>
      </c>
      <c r="B131" s="2" t="s">
        <v>2244</v>
      </c>
      <c r="C131" s="2" t="s">
        <v>2277</v>
      </c>
      <c r="D131" s="2" t="s">
        <v>2163</v>
      </c>
      <c r="E131" s="2" t="s">
        <v>1327</v>
      </c>
      <c r="F131" s="2" t="s">
        <v>1833</v>
      </c>
      <c r="G131" s="2" t="s">
        <v>1965</v>
      </c>
      <c r="H131" s="2" t="s">
        <v>1844</v>
      </c>
      <c r="I131" s="2" t="s">
        <v>1331</v>
      </c>
      <c r="J131" s="2" t="str">
        <f t="shared" ref="J131:J132" si="19">MID(A131,FIND("(",A131)+1,LEN(A131)-FIND("(",A131)-1)</f>
        <v>3.502</v>
      </c>
      <c r="K131" s="2" t="str">
        <f t="shared" si="11"/>
        <v xml:space="preserve"> 3,293</v>
      </c>
      <c r="L131" s="2" t="str">
        <f t="shared" si="12"/>
        <v>0.666</v>
      </c>
      <c r="M131" s="2" t="str">
        <f t="shared" si="13"/>
        <v>54.400</v>
      </c>
      <c r="N131" s="2" t="str">
        <f t="shared" si="14"/>
        <v>0.859</v>
      </c>
      <c r="O131" s="2" t="str">
        <f t="shared" si="15"/>
        <v>0.285</v>
      </c>
      <c r="P131" s="2" t="str">
        <f t="shared" si="16"/>
        <v>0.785</v>
      </c>
      <c r="Q131" s="2" t="str">
        <f t="shared" si="17"/>
        <v>0.657</v>
      </c>
      <c r="R131" s="2" t="str">
        <f t="shared" si="18"/>
        <v>0.340</v>
      </c>
    </row>
    <row r="132" spans="1:18" x14ac:dyDescent="0.35">
      <c r="A132" s="2" t="s">
        <v>2111</v>
      </c>
      <c r="B132" s="2" t="s">
        <v>2153</v>
      </c>
      <c r="C132" s="2" t="s">
        <v>2297</v>
      </c>
      <c r="D132" s="2" t="s">
        <v>2114</v>
      </c>
      <c r="E132" s="2" t="s">
        <v>2271</v>
      </c>
      <c r="F132" s="2" t="s">
        <v>2142</v>
      </c>
      <c r="G132" s="2" t="s">
        <v>1820</v>
      </c>
      <c r="H132" s="2" t="s">
        <v>1713</v>
      </c>
      <c r="I132" s="2" t="s">
        <v>2258</v>
      </c>
      <c r="J132" s="2" t="str">
        <f t="shared" si="19"/>
        <v>3.341</v>
      </c>
      <c r="K132" s="2" t="str">
        <f t="shared" si="11"/>
        <v xml:space="preserve"> 2,140</v>
      </c>
      <c r="L132" s="2" t="str">
        <f t="shared" si="12"/>
        <v>0.682</v>
      </c>
      <c r="M132" s="2" t="str">
        <f t="shared" si="13"/>
        <v>53.100</v>
      </c>
      <c r="N132" s="2" t="str">
        <f t="shared" si="14"/>
        <v>0.685</v>
      </c>
      <c r="O132" s="2" t="str">
        <f t="shared" si="15"/>
        <v>0.107</v>
      </c>
      <c r="P132" s="2" t="str">
        <f t="shared" si="16"/>
        <v>0.756</v>
      </c>
      <c r="Q132" s="2" t="str">
        <f t="shared" si="17"/>
        <v>0.620</v>
      </c>
      <c r="R132" s="2" t="str">
        <f t="shared" si="18"/>
        <v>0.204</v>
      </c>
    </row>
  </sheetData>
  <autoFilter ref="A1:I132" xr:uid="{0E71405C-4D43-4CB1-92C2-43E6010C5380}"/>
  <sortState xmlns:xlrd2="http://schemas.microsoft.com/office/spreadsheetml/2017/richdata2" ref="I2:I132">
    <sortCondition ref="I2:I1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A760-18E0-4AA1-B8D5-5E5DBB6F4F16}">
  <dimension ref="A1:K132"/>
  <sheetViews>
    <sheetView tabSelected="1" topLeftCell="A17" workbookViewId="0">
      <selection activeCell="G28" sqref="G28"/>
    </sheetView>
  </sheetViews>
  <sheetFormatPr defaultRowHeight="14.5" x14ac:dyDescent="0.35"/>
  <cols>
    <col min="2" max="2" width="27.6328125" bestFit="1" customWidth="1"/>
    <col min="3" max="3" width="9.36328125" style="2" bestFit="1" customWidth="1"/>
    <col min="4" max="4" width="9.1796875" style="2" customWidth="1"/>
    <col min="6" max="6" width="27.6328125" bestFit="1" customWidth="1"/>
    <col min="9" max="9" width="9.08984375" customWidth="1"/>
    <col min="10" max="10" width="9.36328125" style="2" bestFit="1" customWidth="1"/>
    <col min="11" max="11" width="9.1796875" style="2" customWidth="1"/>
  </cols>
  <sheetData>
    <row r="1" spans="1:11" ht="29" x14ac:dyDescent="0.35">
      <c r="A1" s="2" t="s">
        <v>2591</v>
      </c>
      <c r="B1" s="1"/>
      <c r="C1" s="6" t="s">
        <v>1279</v>
      </c>
      <c r="D1" s="7" t="s">
        <v>283</v>
      </c>
      <c r="F1" s="1"/>
      <c r="G1" s="6" t="s">
        <v>1279</v>
      </c>
      <c r="H1" s="7" t="s">
        <v>283</v>
      </c>
      <c r="I1" s="8"/>
      <c r="J1" s="8"/>
      <c r="K1" s="10"/>
    </row>
    <row r="2" spans="1:11" x14ac:dyDescent="0.35">
      <c r="A2" s="2">
        <v>1</v>
      </c>
      <c r="B2" s="2" t="s">
        <v>2460</v>
      </c>
      <c r="C2" s="2">
        <v>1.7210000000000001</v>
      </c>
      <c r="D2" s="2">
        <v>0.35</v>
      </c>
      <c r="F2" s="9" t="s">
        <v>2555</v>
      </c>
      <c r="G2" s="2">
        <v>7.3019999999999996</v>
      </c>
      <c r="H2" s="2">
        <v>0.94199999999999995</v>
      </c>
      <c r="I2" s="2">
        <f ca="1">RAND()</f>
        <v>0.10585181466159876</v>
      </c>
    </row>
    <row r="3" spans="1:11" x14ac:dyDescent="0.35">
      <c r="A3" s="2">
        <v>2</v>
      </c>
      <c r="B3" s="2" t="s">
        <v>2461</v>
      </c>
      <c r="C3" s="2">
        <v>5.3040000000000003</v>
      </c>
      <c r="D3" s="2">
        <v>0.71099999999999997</v>
      </c>
      <c r="F3" s="9" t="s">
        <v>2491</v>
      </c>
      <c r="G3" s="2">
        <v>5.8230000000000004</v>
      </c>
      <c r="H3" s="2">
        <v>0.84599999999999997</v>
      </c>
      <c r="I3" s="2">
        <f ca="1">RAND()</f>
        <v>0.61536433030556792</v>
      </c>
    </row>
    <row r="4" spans="1:11" x14ac:dyDescent="0.35">
      <c r="A4" s="2">
        <v>3</v>
      </c>
      <c r="B4" s="2" t="s">
        <v>2462</v>
      </c>
      <c r="C4" s="2">
        <v>5.3639999999999999</v>
      </c>
      <c r="D4" s="2">
        <v>0.81499999999999995</v>
      </c>
      <c r="F4" s="9" t="s">
        <v>2576</v>
      </c>
      <c r="G4" s="2">
        <v>7.06</v>
      </c>
      <c r="H4" s="2">
        <v>0.90600000000000003</v>
      </c>
      <c r="I4" s="2">
        <f ca="1">RAND()</f>
        <v>0.31284985645689256</v>
      </c>
    </row>
    <row r="5" spans="1:11" x14ac:dyDescent="0.35">
      <c r="A5" s="2">
        <v>4</v>
      </c>
      <c r="B5" s="2" t="s">
        <v>2463</v>
      </c>
      <c r="C5" s="2">
        <v>6.1879999999999997</v>
      </c>
      <c r="D5" s="2">
        <v>0.88900000000000001</v>
      </c>
      <c r="F5" s="9" t="s">
        <v>2522</v>
      </c>
      <c r="G5" s="2">
        <v>6.1879999999999997</v>
      </c>
      <c r="H5" s="2">
        <v>0.91900000000000004</v>
      </c>
      <c r="I5" s="2">
        <f ca="1">RAND()</f>
        <v>0.19510067916360818</v>
      </c>
    </row>
    <row r="6" spans="1:11" x14ac:dyDescent="0.35">
      <c r="A6" s="2">
        <v>5</v>
      </c>
      <c r="B6" s="2" t="s">
        <v>2464</v>
      </c>
      <c r="C6" s="2">
        <v>5.4550000000000001</v>
      </c>
      <c r="D6" s="2">
        <v>0.80100000000000005</v>
      </c>
      <c r="F6" s="9" t="s">
        <v>2524</v>
      </c>
      <c r="G6" s="2">
        <v>5.7140000000000004</v>
      </c>
      <c r="H6" s="2">
        <v>0.92700000000000005</v>
      </c>
      <c r="I6" s="2">
        <f ca="1">RAND()</f>
        <v>0.80737184748831525</v>
      </c>
    </row>
    <row r="7" spans="1:11" x14ac:dyDescent="0.35">
      <c r="A7" s="2">
        <v>6</v>
      </c>
      <c r="B7" s="2" t="s">
        <v>2465</v>
      </c>
      <c r="C7" s="2">
        <v>7.0570000000000004</v>
      </c>
      <c r="D7" s="2">
        <v>0.92</v>
      </c>
      <c r="F7" s="9" t="s">
        <v>2492</v>
      </c>
      <c r="G7" s="2">
        <v>5.7249999999999996</v>
      </c>
      <c r="H7" s="2">
        <v>0.79900000000000004</v>
      </c>
      <c r="I7" s="2">
        <f ca="1">RAND()</f>
        <v>0.99706612048814847</v>
      </c>
    </row>
    <row r="8" spans="1:11" x14ac:dyDescent="0.35">
      <c r="A8" s="2">
        <v>7</v>
      </c>
      <c r="B8" s="2" t="s">
        <v>2466</v>
      </c>
      <c r="C8" s="2">
        <v>6.9050000000000002</v>
      </c>
      <c r="D8" s="2">
        <v>0.872</v>
      </c>
      <c r="F8" s="9" t="s">
        <v>2478</v>
      </c>
      <c r="G8" s="2">
        <v>4.8739999999999997</v>
      </c>
      <c r="H8" s="2">
        <v>0.68400000000000005</v>
      </c>
      <c r="I8" s="2">
        <f ca="1">RAND()</f>
        <v>6.0225688828811852E-2</v>
      </c>
    </row>
    <row r="9" spans="1:11" x14ac:dyDescent="0.35">
      <c r="A9" s="2">
        <v>8</v>
      </c>
      <c r="B9" s="2" t="s">
        <v>2467</v>
      </c>
      <c r="C9" s="2">
        <v>4.8929999999999998</v>
      </c>
      <c r="D9" s="2">
        <v>0.69199999999999995</v>
      </c>
      <c r="F9" s="9" t="s">
        <v>2495</v>
      </c>
      <c r="G9" s="2">
        <v>6.4480000000000004</v>
      </c>
      <c r="H9" s="2">
        <v>0.94599999999999995</v>
      </c>
      <c r="I9" s="2">
        <f ca="1">RAND()</f>
        <v>0.49586828483748502</v>
      </c>
    </row>
    <row r="10" spans="1:11" x14ac:dyDescent="0.35">
      <c r="A10" s="2">
        <v>9</v>
      </c>
      <c r="B10" s="2" t="s">
        <v>2468</v>
      </c>
      <c r="C10" s="2">
        <v>3.8860000000000001</v>
      </c>
      <c r="D10" s="2">
        <v>0.44800000000000001</v>
      </c>
      <c r="F10" s="9" t="s">
        <v>2537</v>
      </c>
      <c r="G10" s="2">
        <v>6.3460000000000001</v>
      </c>
      <c r="H10" s="2">
        <v>0.91400000000000003</v>
      </c>
      <c r="I10" s="2">
        <f ca="1">RAND()</f>
        <v>0.6183023972122339</v>
      </c>
    </row>
    <row r="11" spans="1:11" x14ac:dyDescent="0.35">
      <c r="A11" s="2">
        <v>10</v>
      </c>
      <c r="B11" s="2" t="s">
        <v>2469</v>
      </c>
      <c r="C11" s="2">
        <v>6.8940000000000001</v>
      </c>
      <c r="D11" s="2">
        <v>0.91200000000000003</v>
      </c>
      <c r="F11" s="9" t="s">
        <v>2575</v>
      </c>
      <c r="G11" s="2">
        <v>7.3440000000000003</v>
      </c>
      <c r="H11" s="2">
        <v>0.93600000000000005</v>
      </c>
      <c r="I11" s="2">
        <f ca="1">RAND()</f>
        <v>0.31581161450135442</v>
      </c>
    </row>
    <row r="12" spans="1:11" x14ac:dyDescent="0.35">
      <c r="A12" s="2">
        <v>11</v>
      </c>
      <c r="B12" s="2" t="s">
        <v>2470</v>
      </c>
      <c r="C12" s="2">
        <v>4.3769999999999998</v>
      </c>
      <c r="D12" s="2">
        <v>0.4</v>
      </c>
      <c r="F12" s="9" t="s">
        <v>2581</v>
      </c>
      <c r="G12" s="2">
        <v>4.9749999999999996</v>
      </c>
      <c r="H12" s="2">
        <v>0.80900000000000005</v>
      </c>
      <c r="I12" s="2">
        <f ca="1">RAND()</f>
        <v>0.84829510115528517</v>
      </c>
    </row>
    <row r="13" spans="1:11" x14ac:dyDescent="0.35">
      <c r="A13" s="2">
        <v>12</v>
      </c>
      <c r="B13" s="2" t="s">
        <v>2471</v>
      </c>
      <c r="C13" s="2">
        <v>5.7839999999999998</v>
      </c>
      <c r="D13" s="2">
        <v>0.81</v>
      </c>
      <c r="F13" s="9" t="s">
        <v>2493</v>
      </c>
      <c r="G13" s="2">
        <v>3.9769999999999999</v>
      </c>
      <c r="H13" s="2">
        <v>0.73899999999999999</v>
      </c>
      <c r="I13" s="2">
        <f ca="1">RAND()</f>
        <v>0.11032119345172076</v>
      </c>
    </row>
    <row r="14" spans="1:11" x14ac:dyDescent="0.35">
      <c r="A14" s="2">
        <v>13</v>
      </c>
      <c r="B14" s="2" t="s">
        <v>2472</v>
      </c>
      <c r="C14" s="2">
        <v>5.8769999999999998</v>
      </c>
      <c r="D14" s="2">
        <v>0.86499999999999999</v>
      </c>
      <c r="F14" s="9" t="s">
        <v>2539</v>
      </c>
      <c r="G14" s="2">
        <v>5.8159999999999998</v>
      </c>
      <c r="H14" s="2">
        <v>0.88</v>
      </c>
      <c r="I14" s="2">
        <f ca="1">RAND()</f>
        <v>0.14987366303512062</v>
      </c>
    </row>
    <row r="15" spans="1:11" x14ac:dyDescent="0.35">
      <c r="A15" s="2">
        <v>14</v>
      </c>
      <c r="B15" s="2" t="s">
        <v>2473</v>
      </c>
      <c r="C15" s="2">
        <v>3.383</v>
      </c>
      <c r="D15" s="2">
        <v>0.72799999999999998</v>
      </c>
      <c r="F15" s="9" t="s">
        <v>2565</v>
      </c>
      <c r="G15" s="2">
        <v>4.9690000000000003</v>
      </c>
      <c r="H15" s="2">
        <v>0.64300000000000002</v>
      </c>
      <c r="I15" s="2">
        <f ca="1">RAND()</f>
        <v>0.32201488894667585</v>
      </c>
    </row>
    <row r="16" spans="1:11" x14ac:dyDescent="0.35">
      <c r="A16" s="2">
        <v>15</v>
      </c>
      <c r="B16" s="2" t="s">
        <v>2474</v>
      </c>
      <c r="C16" s="2">
        <v>6.2720000000000002</v>
      </c>
      <c r="D16" s="2">
        <v>0.84499999999999997</v>
      </c>
      <c r="F16" s="9" t="s">
        <v>2534</v>
      </c>
      <c r="G16" s="2">
        <v>3.4209999999999998</v>
      </c>
      <c r="H16" s="2">
        <v>0.51</v>
      </c>
      <c r="I16" s="2">
        <f ca="1">RAND()</f>
        <v>0.46741379609198386</v>
      </c>
    </row>
    <row r="17" spans="1:9" x14ac:dyDescent="0.35">
      <c r="A17" s="2">
        <v>16</v>
      </c>
      <c r="B17" s="2" t="s">
        <v>2475</v>
      </c>
      <c r="C17" s="2">
        <v>5.4630000000000001</v>
      </c>
      <c r="D17" s="2">
        <v>0.92300000000000004</v>
      </c>
      <c r="F17" s="9" t="s">
        <v>2525</v>
      </c>
      <c r="G17" s="2">
        <v>5.1390000000000002</v>
      </c>
      <c r="H17" s="2">
        <v>0.68100000000000005</v>
      </c>
      <c r="I17" s="2">
        <f ca="1">RAND()</f>
        <v>1.8063958042311867E-2</v>
      </c>
    </row>
    <row r="18" spans="1:9" x14ac:dyDescent="0.35">
      <c r="A18" s="2">
        <v>17</v>
      </c>
      <c r="B18" s="2" t="s">
        <v>2476</v>
      </c>
      <c r="C18" s="2">
        <v>4.548</v>
      </c>
      <c r="D18" s="2">
        <v>0.61799999999999999</v>
      </c>
      <c r="F18" s="9" t="s">
        <v>2468</v>
      </c>
      <c r="G18" s="2">
        <v>3.8860000000000001</v>
      </c>
      <c r="H18" s="2">
        <v>0.44800000000000001</v>
      </c>
      <c r="I18" s="2">
        <f ca="1">RAND()</f>
        <v>9.7880973886404377E-2</v>
      </c>
    </row>
    <row r="19" spans="1:9" x14ac:dyDescent="0.35">
      <c r="A19" s="2">
        <v>18</v>
      </c>
      <c r="B19" s="2" t="s">
        <v>2477</v>
      </c>
      <c r="C19" s="2">
        <v>4.3410000000000002</v>
      </c>
      <c r="D19" s="2">
        <v>0.748</v>
      </c>
      <c r="F19" s="9" t="s">
        <v>2489</v>
      </c>
      <c r="G19" s="2">
        <v>6.8220000000000001</v>
      </c>
      <c r="H19" s="2">
        <v>0.94</v>
      </c>
      <c r="I19" s="2">
        <f ca="1">RAND()</f>
        <v>0.81397852560182815</v>
      </c>
    </row>
    <row r="20" spans="1:9" x14ac:dyDescent="0.35">
      <c r="A20" s="2">
        <v>19</v>
      </c>
      <c r="B20" s="2" t="s">
        <v>2478</v>
      </c>
      <c r="C20" s="2">
        <v>4.8739999999999997</v>
      </c>
      <c r="D20" s="2">
        <v>0.68400000000000005</v>
      </c>
      <c r="F20" s="9" t="s">
        <v>2479</v>
      </c>
      <c r="G20" s="2">
        <v>6.9</v>
      </c>
      <c r="H20" s="2">
        <v>0.91900000000000004</v>
      </c>
      <c r="I20" s="2">
        <f ca="1">RAND()</f>
        <v>0.43457227781375896</v>
      </c>
    </row>
    <row r="21" spans="1:9" x14ac:dyDescent="0.35">
      <c r="A21" s="2">
        <v>20</v>
      </c>
      <c r="B21" s="2" t="s">
        <v>2479</v>
      </c>
      <c r="C21" s="2">
        <v>6.9</v>
      </c>
      <c r="D21" s="2">
        <v>0.91900000000000004</v>
      </c>
      <c r="F21" s="9" t="s">
        <v>2501</v>
      </c>
      <c r="G21" s="2">
        <v>4.4850000000000003</v>
      </c>
      <c r="H21" s="2">
        <v>0.61699999999999999</v>
      </c>
      <c r="I21" s="2">
        <f ca="1">RAND()</f>
        <v>0.77024116531165687</v>
      </c>
    </row>
    <row r="22" spans="1:9" x14ac:dyDescent="0.35">
      <c r="A22" s="2">
        <v>21</v>
      </c>
      <c r="B22" s="2" t="s">
        <v>2480</v>
      </c>
      <c r="C22" s="2">
        <v>4.4710000000000001</v>
      </c>
      <c r="D22" s="2">
        <v>0.66500000000000004</v>
      </c>
      <c r="F22" s="9" t="s">
        <v>2508</v>
      </c>
      <c r="I22" s="2">
        <f ca="1">RAND()</f>
        <v>2.0399156268742225E-3</v>
      </c>
    </row>
    <row r="23" spans="1:9" x14ac:dyDescent="0.35">
      <c r="A23" s="2">
        <v>22</v>
      </c>
      <c r="B23" s="2" t="s">
        <v>2481</v>
      </c>
      <c r="C23" s="2">
        <v>6.36</v>
      </c>
      <c r="D23" s="2">
        <v>0.88400000000000001</v>
      </c>
      <c r="F23" s="9" t="s">
        <v>2574</v>
      </c>
      <c r="I23" s="2">
        <f ca="1">RAND()</f>
        <v>0.55226713503642855</v>
      </c>
    </row>
    <row r="24" spans="1:9" x14ac:dyDescent="0.35">
      <c r="A24" s="2">
        <v>23</v>
      </c>
      <c r="B24" s="2" t="s">
        <v>2482</v>
      </c>
      <c r="C24" s="2">
        <v>5.6950000000000003</v>
      </c>
      <c r="D24" s="2">
        <v>0.83399999999999996</v>
      </c>
      <c r="F24" s="9" t="s">
        <v>2462</v>
      </c>
      <c r="I24" s="2">
        <f ca="1">RAND()</f>
        <v>0.35079007281678132</v>
      </c>
    </row>
    <row r="25" spans="1:9" x14ac:dyDescent="0.35">
      <c r="A25" s="2">
        <v>24</v>
      </c>
      <c r="B25" s="2" t="s">
        <v>2483</v>
      </c>
      <c r="C25" s="2">
        <v>3.5659999999999998</v>
      </c>
      <c r="D25" s="2">
        <v>0.47799999999999998</v>
      </c>
      <c r="F25" s="9" t="s">
        <v>2541</v>
      </c>
      <c r="I25" s="2">
        <f ca="1">RAND()</f>
        <v>0.19232377660608313</v>
      </c>
    </row>
    <row r="26" spans="1:9" x14ac:dyDescent="0.35">
      <c r="A26" s="2">
        <v>25</v>
      </c>
      <c r="B26" s="2" t="s">
        <v>2484</v>
      </c>
      <c r="C26" s="2">
        <v>5.2210000000000001</v>
      </c>
      <c r="D26" s="2">
        <v>0.59299999999999997</v>
      </c>
      <c r="F26" s="9" t="s">
        <v>2516</v>
      </c>
      <c r="I26" s="2">
        <f ca="1">RAND()</f>
        <v>8.358292773228515E-2</v>
      </c>
    </row>
    <row r="27" spans="1:9" x14ac:dyDescent="0.35">
      <c r="A27" s="2">
        <v>26</v>
      </c>
      <c r="B27" s="2" t="s">
        <v>2485</v>
      </c>
      <c r="C27" s="2">
        <v>3.2949999999999999</v>
      </c>
      <c r="D27" s="2">
        <v>0.61</v>
      </c>
      <c r="F27" s="9" t="s">
        <v>2485</v>
      </c>
      <c r="I27" s="2">
        <f ca="1">RAND()</f>
        <v>5.8312192647908989E-2</v>
      </c>
    </row>
    <row r="28" spans="1:9" x14ac:dyDescent="0.35">
      <c r="A28" s="2">
        <v>27</v>
      </c>
      <c r="B28" s="2" t="s">
        <v>2486</v>
      </c>
      <c r="C28" s="2">
        <v>6.9550000000000001</v>
      </c>
      <c r="D28" s="2">
        <v>0.88600000000000001</v>
      </c>
      <c r="F28" s="9" t="s">
        <v>2497</v>
      </c>
      <c r="I28" s="2">
        <f ca="1">RAND()</f>
        <v>0.65627106166484195</v>
      </c>
    </row>
    <row r="29" spans="1:9" x14ac:dyDescent="0.35">
      <c r="A29" s="2">
        <v>28</v>
      </c>
      <c r="B29" s="2" t="s">
        <v>2487</v>
      </c>
      <c r="C29" s="2">
        <v>5.9420000000000002</v>
      </c>
      <c r="D29" s="2">
        <v>0.91400000000000003</v>
      </c>
      <c r="F29" s="9" t="s">
        <v>2469</v>
      </c>
      <c r="I29" s="2">
        <f ca="1">RAND()</f>
        <v>6.8014786675889005E-2</v>
      </c>
    </row>
    <row r="30" spans="1:9" x14ac:dyDescent="0.35">
      <c r="A30" s="2">
        <v>29</v>
      </c>
      <c r="B30" s="2" t="s">
        <v>2488</v>
      </c>
      <c r="C30" s="2">
        <v>6.0679999999999996</v>
      </c>
      <c r="D30" s="2">
        <v>0.82499999999999996</v>
      </c>
      <c r="F30" s="9" t="s">
        <v>2583</v>
      </c>
      <c r="I30" s="2">
        <f ca="1">RAND()</f>
        <v>0.60682708466617541</v>
      </c>
    </row>
    <row r="31" spans="1:9" x14ac:dyDescent="0.35">
      <c r="A31" s="2">
        <v>30</v>
      </c>
      <c r="B31" s="2" t="s">
        <v>2489</v>
      </c>
      <c r="C31" s="2">
        <v>6.8220000000000001</v>
      </c>
      <c r="D31" s="2">
        <v>0.94</v>
      </c>
      <c r="F31" s="9" t="s">
        <v>2466</v>
      </c>
      <c r="I31" s="2">
        <f ca="1">RAND()</f>
        <v>9.3535180520844641E-2</v>
      </c>
    </row>
    <row r="32" spans="1:9" x14ac:dyDescent="0.35">
      <c r="A32" s="2">
        <v>31</v>
      </c>
      <c r="B32" s="2" t="s">
        <v>2490</v>
      </c>
      <c r="C32" s="2">
        <v>7.5830000000000002</v>
      </c>
      <c r="D32" s="2">
        <v>0.94399999999999995</v>
      </c>
      <c r="F32" s="2"/>
      <c r="I32" s="2"/>
    </row>
    <row r="33" spans="1:9" x14ac:dyDescent="0.35">
      <c r="A33" s="2">
        <v>32</v>
      </c>
      <c r="B33" s="2" t="s">
        <v>2491</v>
      </c>
      <c r="C33" s="2">
        <v>5.8230000000000004</v>
      </c>
      <c r="D33" s="2">
        <v>0.84599999999999997</v>
      </c>
      <c r="F33" s="2"/>
      <c r="I33" s="2"/>
    </row>
    <row r="34" spans="1:9" x14ac:dyDescent="0.35">
      <c r="A34" s="2">
        <v>33</v>
      </c>
      <c r="B34" s="2" t="s">
        <v>2492</v>
      </c>
      <c r="C34" s="2">
        <v>5.7249999999999996</v>
      </c>
      <c r="D34" s="2">
        <v>0.79900000000000004</v>
      </c>
      <c r="F34" s="2"/>
      <c r="I34" s="2"/>
    </row>
    <row r="35" spans="1:9" x14ac:dyDescent="0.35">
      <c r="A35" s="2">
        <v>34</v>
      </c>
      <c r="B35" s="2" t="s">
        <v>2493</v>
      </c>
      <c r="C35" s="2">
        <v>3.9769999999999999</v>
      </c>
      <c r="D35" s="2">
        <v>0.73899999999999999</v>
      </c>
      <c r="F35" s="2"/>
      <c r="I35" s="2"/>
    </row>
    <row r="36" spans="1:9" x14ac:dyDescent="0.35">
      <c r="A36" s="2">
        <v>35</v>
      </c>
      <c r="B36" s="2" t="s">
        <v>2494</v>
      </c>
      <c r="C36" s="2">
        <v>6.4690000000000003</v>
      </c>
      <c r="D36" s="2">
        <v>0.77200000000000002</v>
      </c>
      <c r="F36" s="2"/>
      <c r="I36" s="2"/>
    </row>
    <row r="37" spans="1:9" x14ac:dyDescent="0.35">
      <c r="A37" s="2">
        <v>36</v>
      </c>
      <c r="B37" s="2" t="s">
        <v>2495</v>
      </c>
      <c r="C37" s="2">
        <v>6.4480000000000004</v>
      </c>
      <c r="D37" s="2">
        <v>0.94599999999999995</v>
      </c>
      <c r="F37" s="2"/>
      <c r="I37" s="2"/>
    </row>
    <row r="38" spans="1:9" x14ac:dyDescent="0.35">
      <c r="A38" s="2">
        <v>37</v>
      </c>
      <c r="B38" s="2" t="s">
        <v>2496</v>
      </c>
      <c r="C38" s="2">
        <v>3.5019999999999998</v>
      </c>
      <c r="D38" s="2">
        <v>0.71099999999999997</v>
      </c>
      <c r="F38" s="2"/>
      <c r="I38" s="2"/>
    </row>
    <row r="39" spans="1:9" x14ac:dyDescent="0.35">
      <c r="A39" s="2">
        <v>38</v>
      </c>
      <c r="B39" s="2" t="s">
        <v>2497</v>
      </c>
      <c r="C39" s="2">
        <v>3.8610000000000002</v>
      </c>
      <c r="D39" s="2">
        <v>0.70699999999999996</v>
      </c>
      <c r="F39" s="2"/>
      <c r="I39" s="2"/>
    </row>
    <row r="40" spans="1:9" x14ac:dyDescent="0.35">
      <c r="A40" s="2">
        <v>39</v>
      </c>
      <c r="B40" s="2" t="s">
        <v>2498</v>
      </c>
      <c r="C40" s="2">
        <v>7.7409999999999997</v>
      </c>
      <c r="D40" s="2">
        <v>0.96399999999999997</v>
      </c>
      <c r="F40" s="2"/>
      <c r="I40" s="2"/>
    </row>
    <row r="41" spans="1:9" x14ac:dyDescent="0.35">
      <c r="A41" s="2">
        <v>40</v>
      </c>
      <c r="B41" s="2" t="s">
        <v>2499</v>
      </c>
      <c r="C41" s="2">
        <v>6.609</v>
      </c>
      <c r="D41" s="2">
        <v>0.876</v>
      </c>
      <c r="F41" s="2"/>
      <c r="I41" s="2"/>
    </row>
    <row r="42" spans="1:9" x14ac:dyDescent="0.35">
      <c r="A42" s="2">
        <v>41</v>
      </c>
      <c r="B42" s="2" t="s">
        <v>2500</v>
      </c>
      <c r="C42" s="2">
        <v>5.1059999999999999</v>
      </c>
      <c r="D42" s="2">
        <v>0.755</v>
      </c>
      <c r="F42" s="2"/>
      <c r="I42" s="2"/>
    </row>
    <row r="43" spans="1:9" x14ac:dyDescent="0.35">
      <c r="A43" s="2">
        <v>42</v>
      </c>
      <c r="B43" s="2" t="s">
        <v>2501</v>
      </c>
      <c r="C43" s="2">
        <v>4.4850000000000003</v>
      </c>
      <c r="D43" s="2">
        <v>0.61699999999999999</v>
      </c>
      <c r="F43" s="2"/>
      <c r="I43" s="2"/>
    </row>
    <row r="44" spans="1:9" x14ac:dyDescent="0.35">
      <c r="A44" s="2">
        <v>43</v>
      </c>
      <c r="B44" s="2" t="s">
        <v>2502</v>
      </c>
      <c r="C44" s="2">
        <v>5.1849999999999996</v>
      </c>
      <c r="D44" s="2">
        <v>0.73699999999999999</v>
      </c>
      <c r="F44" s="2"/>
      <c r="I44" s="2"/>
    </row>
    <row r="45" spans="1:9" x14ac:dyDescent="0.35">
      <c r="A45" s="2">
        <v>44</v>
      </c>
      <c r="B45" s="2" t="s">
        <v>2503</v>
      </c>
      <c r="C45" s="2">
        <v>6.7190000000000003</v>
      </c>
      <c r="D45" s="2">
        <v>0.89300000000000002</v>
      </c>
      <c r="F45" s="2"/>
      <c r="I45" s="2"/>
    </row>
    <row r="46" spans="1:9" x14ac:dyDescent="0.35">
      <c r="A46" s="2">
        <v>45</v>
      </c>
      <c r="B46" s="2" t="s">
        <v>2504</v>
      </c>
      <c r="C46" s="2">
        <v>4.2889999999999997</v>
      </c>
      <c r="D46" s="2">
        <v>0.64200000000000002</v>
      </c>
      <c r="F46" s="2"/>
      <c r="I46" s="2"/>
    </row>
    <row r="47" spans="1:9" x14ac:dyDescent="0.35">
      <c r="A47" s="2">
        <v>46</v>
      </c>
      <c r="B47" s="2" t="s">
        <v>2505</v>
      </c>
      <c r="C47" s="2">
        <v>5.9340000000000002</v>
      </c>
      <c r="D47" s="2">
        <v>0.84799999999999998</v>
      </c>
      <c r="F47" s="2"/>
      <c r="I47" s="2"/>
    </row>
    <row r="48" spans="1:9" x14ac:dyDescent="0.35">
      <c r="A48" s="2">
        <v>47</v>
      </c>
      <c r="B48" s="2" t="s">
        <v>2506</v>
      </c>
      <c r="C48" s="2">
        <v>6.2869999999999999</v>
      </c>
      <c r="D48" s="2">
        <v>0.80600000000000005</v>
      </c>
      <c r="F48" s="2"/>
      <c r="I48" s="2"/>
    </row>
    <row r="49" spans="1:9" x14ac:dyDescent="0.35">
      <c r="A49" s="2">
        <v>48</v>
      </c>
      <c r="B49" s="2" t="s">
        <v>2507</v>
      </c>
      <c r="C49" s="2">
        <v>5.0229999999999997</v>
      </c>
      <c r="D49" s="2">
        <v>0.59299999999999997</v>
      </c>
      <c r="F49" s="2"/>
      <c r="I49" s="2"/>
    </row>
    <row r="50" spans="1:9" x14ac:dyDescent="0.35">
      <c r="A50" s="2">
        <v>49</v>
      </c>
      <c r="B50" s="2" t="s">
        <v>2508</v>
      </c>
      <c r="C50" s="2">
        <v>5.968</v>
      </c>
      <c r="D50" s="2">
        <v>0.754</v>
      </c>
      <c r="F50" s="2"/>
      <c r="I50" s="2"/>
    </row>
    <row r="51" spans="1:9" x14ac:dyDescent="0.35">
      <c r="A51" s="2">
        <v>50</v>
      </c>
      <c r="B51" s="2" t="s">
        <v>2509</v>
      </c>
      <c r="C51" s="2">
        <v>6.0170000000000003</v>
      </c>
      <c r="D51" s="2">
        <v>0.94699999999999995</v>
      </c>
      <c r="F51" s="2"/>
      <c r="I51" s="2"/>
    </row>
    <row r="52" spans="1:9" x14ac:dyDescent="0.35">
      <c r="A52" s="2">
        <v>51</v>
      </c>
      <c r="B52" s="2" t="s">
        <v>2510</v>
      </c>
      <c r="C52" s="2">
        <v>7.5250000000000004</v>
      </c>
      <c r="D52" s="2">
        <v>0.98099999999999998</v>
      </c>
      <c r="F52" s="2"/>
      <c r="I52" s="2"/>
    </row>
    <row r="53" spans="1:9" x14ac:dyDescent="0.35">
      <c r="A53" s="2">
        <v>52</v>
      </c>
      <c r="B53" s="2" t="s">
        <v>2511</v>
      </c>
      <c r="C53" s="2">
        <v>4.0540000000000003</v>
      </c>
      <c r="D53" s="2">
        <v>0.60499999999999998</v>
      </c>
      <c r="F53" s="2"/>
      <c r="I53" s="2"/>
    </row>
    <row r="54" spans="1:9" x14ac:dyDescent="0.35">
      <c r="A54" s="2">
        <v>53</v>
      </c>
      <c r="B54" s="2" t="s">
        <v>2512</v>
      </c>
      <c r="C54" s="2">
        <v>5.5679999999999996</v>
      </c>
      <c r="D54" s="2">
        <v>0.81200000000000006</v>
      </c>
      <c r="F54" s="2"/>
      <c r="I54" s="2"/>
    </row>
    <row r="55" spans="1:9" x14ac:dyDescent="0.35">
      <c r="A55" s="2">
        <v>54</v>
      </c>
      <c r="B55" s="2" t="s">
        <v>2513</v>
      </c>
      <c r="C55" s="2">
        <v>4.923</v>
      </c>
      <c r="D55" s="2">
        <v>0.79400000000000004</v>
      </c>
      <c r="F55" s="2"/>
      <c r="I55" s="2"/>
    </row>
    <row r="56" spans="1:9" x14ac:dyDescent="0.35">
      <c r="A56" s="2">
        <v>55</v>
      </c>
      <c r="B56" s="2" t="s">
        <v>2514</v>
      </c>
      <c r="C56" s="2">
        <v>5.1660000000000004</v>
      </c>
      <c r="D56" s="2">
        <v>0.73899999999999999</v>
      </c>
      <c r="F56" s="2"/>
      <c r="I56" s="2"/>
    </row>
    <row r="57" spans="1:9" x14ac:dyDescent="0.35">
      <c r="A57" s="2">
        <v>56</v>
      </c>
      <c r="B57" s="2" t="s">
        <v>2515</v>
      </c>
      <c r="C57" s="2">
        <v>6.8380000000000001</v>
      </c>
      <c r="D57" s="2">
        <v>0.89300000000000002</v>
      </c>
      <c r="F57" s="2"/>
      <c r="I57" s="2"/>
    </row>
    <row r="58" spans="1:9" x14ac:dyDescent="0.35">
      <c r="A58" s="2">
        <v>57</v>
      </c>
      <c r="B58" s="2" t="s">
        <v>2516</v>
      </c>
      <c r="C58" s="2">
        <v>7.3410000000000002</v>
      </c>
      <c r="D58" s="2">
        <v>0.94099999999999995</v>
      </c>
      <c r="F58" s="2"/>
      <c r="I58" s="2"/>
    </row>
    <row r="59" spans="1:9" x14ac:dyDescent="0.35">
      <c r="A59" s="2">
        <v>58</v>
      </c>
      <c r="B59" s="2" t="s">
        <v>2517</v>
      </c>
      <c r="C59" s="2">
        <v>6.3239999999999998</v>
      </c>
      <c r="D59" s="2">
        <v>0.86899999999999999</v>
      </c>
      <c r="F59" s="2"/>
      <c r="I59" s="2"/>
    </row>
    <row r="60" spans="1:9" x14ac:dyDescent="0.35">
      <c r="A60" s="2">
        <v>59</v>
      </c>
      <c r="B60" s="2" t="s">
        <v>2518</v>
      </c>
      <c r="C60" s="2">
        <v>5.08</v>
      </c>
      <c r="D60" s="2">
        <v>0.57599999999999996</v>
      </c>
      <c r="F60" s="2"/>
      <c r="I60" s="2"/>
    </row>
    <row r="61" spans="1:9" x14ac:dyDescent="0.35">
      <c r="A61" s="2">
        <v>60</v>
      </c>
      <c r="B61" s="2" t="s">
        <v>2519</v>
      </c>
      <c r="C61" s="2">
        <v>5.8419999999999996</v>
      </c>
      <c r="D61" s="2">
        <v>0.86699999999999999</v>
      </c>
      <c r="F61" s="2"/>
      <c r="I61" s="2"/>
    </row>
    <row r="62" spans="1:9" x14ac:dyDescent="0.35">
      <c r="A62" s="2">
        <v>61</v>
      </c>
      <c r="B62" s="2" t="s">
        <v>2520</v>
      </c>
      <c r="C62" s="2">
        <v>6.06</v>
      </c>
      <c r="D62" s="2">
        <v>0.879</v>
      </c>
      <c r="F62" s="2"/>
      <c r="I62" s="2"/>
    </row>
    <row r="63" spans="1:9" x14ac:dyDescent="0.35">
      <c r="A63" s="2">
        <v>62</v>
      </c>
      <c r="B63" s="2" t="s">
        <v>2521</v>
      </c>
      <c r="C63" s="2">
        <v>4.1859999999999999</v>
      </c>
      <c r="D63" s="2">
        <v>0.73399999999999999</v>
      </c>
      <c r="F63" s="2"/>
      <c r="I63" s="2"/>
    </row>
    <row r="64" spans="1:9" x14ac:dyDescent="0.35">
      <c r="A64" s="2">
        <v>63</v>
      </c>
      <c r="B64" s="2" t="s">
        <v>2522</v>
      </c>
      <c r="C64" s="2">
        <v>6.1879999999999997</v>
      </c>
      <c r="D64" s="2">
        <v>0.91900000000000004</v>
      </c>
      <c r="F64" s="2"/>
      <c r="I64" s="2"/>
    </row>
    <row r="65" spans="1:9" x14ac:dyDescent="0.35">
      <c r="A65" s="2">
        <v>64</v>
      </c>
      <c r="B65" s="2" t="s">
        <v>2523</v>
      </c>
      <c r="C65" s="2">
        <v>4.47</v>
      </c>
      <c r="D65" s="2">
        <v>0.7</v>
      </c>
      <c r="F65" s="2"/>
      <c r="I65" s="2"/>
    </row>
    <row r="66" spans="1:9" x14ac:dyDescent="0.35">
      <c r="A66" s="2">
        <v>65</v>
      </c>
      <c r="B66" s="2" t="s">
        <v>2524</v>
      </c>
      <c r="C66" s="2">
        <v>5.7140000000000004</v>
      </c>
      <c r="D66" s="2">
        <v>0.92700000000000005</v>
      </c>
      <c r="F66" s="2"/>
      <c r="I66" s="2"/>
    </row>
    <row r="67" spans="1:9" x14ac:dyDescent="0.35">
      <c r="A67" s="2">
        <v>66</v>
      </c>
      <c r="B67" s="2" t="s">
        <v>2525</v>
      </c>
      <c r="C67" s="2">
        <v>5.1390000000000002</v>
      </c>
      <c r="D67" s="2">
        <v>0.68100000000000005</v>
      </c>
      <c r="F67" s="2"/>
      <c r="I67" s="2"/>
    </row>
    <row r="68" spans="1:9" x14ac:dyDescent="0.35">
      <c r="A68" s="2">
        <v>67</v>
      </c>
      <c r="B68" s="2" t="s">
        <v>2526</v>
      </c>
      <c r="C68" s="2">
        <v>6.234</v>
      </c>
      <c r="D68" s="2">
        <v>0.93899999999999995</v>
      </c>
      <c r="F68" s="2"/>
      <c r="I68" s="2"/>
    </row>
    <row r="69" spans="1:9" x14ac:dyDescent="0.35">
      <c r="A69" s="2">
        <v>68</v>
      </c>
      <c r="B69" s="2" t="s">
        <v>2527</v>
      </c>
      <c r="C69" s="2">
        <v>2.7069999999999999</v>
      </c>
      <c r="D69" s="2">
        <v>0.57499999999999996</v>
      </c>
      <c r="F69" s="2"/>
      <c r="I69" s="2"/>
    </row>
    <row r="70" spans="1:9" x14ac:dyDescent="0.35">
      <c r="A70" s="2">
        <v>69</v>
      </c>
      <c r="B70" s="2" t="s">
        <v>2528</v>
      </c>
      <c r="C70" s="2">
        <v>3.1859999999999999</v>
      </c>
      <c r="D70" s="2">
        <v>0.68200000000000005</v>
      </c>
      <c r="F70" s="2"/>
      <c r="I70" s="2"/>
    </row>
    <row r="71" spans="1:9" x14ac:dyDescent="0.35">
      <c r="A71" s="2">
        <v>70</v>
      </c>
      <c r="B71" s="2" t="s">
        <v>2529</v>
      </c>
      <c r="C71" s="2">
        <v>4.2690000000000001</v>
      </c>
      <c r="D71" s="2">
        <v>0.61299999999999999</v>
      </c>
      <c r="F71" s="2"/>
      <c r="I71" s="2"/>
    </row>
    <row r="72" spans="1:9" x14ac:dyDescent="0.35">
      <c r="A72" s="2">
        <v>71</v>
      </c>
      <c r="B72" s="2" t="s">
        <v>2530</v>
      </c>
      <c r="C72" s="2">
        <v>5.8659999999999997</v>
      </c>
      <c r="D72" s="2">
        <v>0.77900000000000003</v>
      </c>
      <c r="F72" s="2"/>
      <c r="I72" s="2"/>
    </row>
    <row r="73" spans="1:9" x14ac:dyDescent="0.35">
      <c r="A73" s="2">
        <v>72</v>
      </c>
      <c r="B73" s="2" t="s">
        <v>2531</v>
      </c>
      <c r="C73" s="2">
        <v>6.8179999999999996</v>
      </c>
      <c r="D73" s="2">
        <v>0.91700000000000004</v>
      </c>
      <c r="F73" s="2"/>
      <c r="I73" s="2"/>
    </row>
    <row r="74" spans="1:9" x14ac:dyDescent="0.35">
      <c r="A74" s="2">
        <v>73</v>
      </c>
      <c r="B74" s="2" t="s">
        <v>2532</v>
      </c>
      <c r="C74" s="2">
        <v>7.1219999999999999</v>
      </c>
      <c r="D74" s="2">
        <v>0.879</v>
      </c>
      <c r="F74" s="2"/>
      <c r="I74" s="2"/>
    </row>
    <row r="75" spans="1:9" x14ac:dyDescent="0.35">
      <c r="A75" s="2">
        <v>74</v>
      </c>
      <c r="B75" s="2" t="s">
        <v>2533</v>
      </c>
      <c r="C75" s="2">
        <v>4.2279999999999998</v>
      </c>
      <c r="D75" s="2">
        <v>0.67200000000000004</v>
      </c>
      <c r="F75" s="2"/>
      <c r="I75" s="2"/>
    </row>
    <row r="76" spans="1:9" x14ac:dyDescent="0.35">
      <c r="A76" s="2">
        <v>75</v>
      </c>
      <c r="B76" s="2" t="s">
        <v>2534</v>
      </c>
      <c r="C76" s="2">
        <v>3.4209999999999998</v>
      </c>
      <c r="D76" s="2">
        <v>0.51</v>
      </c>
      <c r="F76" s="2"/>
      <c r="I76" s="2"/>
    </row>
    <row r="77" spans="1:9" x14ac:dyDescent="0.35">
      <c r="A77" s="2">
        <v>76</v>
      </c>
      <c r="B77" s="2" t="s">
        <v>2535</v>
      </c>
      <c r="C77" s="2">
        <v>5.9749999999999996</v>
      </c>
      <c r="D77" s="2">
        <v>0.79600000000000004</v>
      </c>
      <c r="F77" s="2"/>
      <c r="I77" s="2"/>
    </row>
    <row r="78" spans="1:9" x14ac:dyDescent="0.35">
      <c r="A78" s="2">
        <v>77</v>
      </c>
      <c r="B78" s="2" t="s">
        <v>2536</v>
      </c>
      <c r="C78" s="2">
        <v>4.2320000000000002</v>
      </c>
      <c r="D78" s="2">
        <v>0.61899999999999999</v>
      </c>
      <c r="F78" s="2"/>
      <c r="I78" s="2"/>
    </row>
    <row r="79" spans="1:9" x14ac:dyDescent="0.35">
      <c r="A79" s="2">
        <v>78</v>
      </c>
      <c r="B79" s="2" t="s">
        <v>2537</v>
      </c>
      <c r="C79" s="2">
        <v>6.3460000000000001</v>
      </c>
      <c r="D79" s="2">
        <v>0.91400000000000003</v>
      </c>
      <c r="F79" s="2"/>
      <c r="I79" s="2"/>
    </row>
    <row r="80" spans="1:9" x14ac:dyDescent="0.35">
      <c r="A80" s="2">
        <v>79</v>
      </c>
      <c r="B80" s="2" t="s">
        <v>2538</v>
      </c>
      <c r="C80" s="2">
        <v>4.5049999999999999</v>
      </c>
      <c r="D80" s="2">
        <v>0.625</v>
      </c>
      <c r="F80" s="2"/>
      <c r="I80" s="2"/>
    </row>
    <row r="81" spans="1:9" x14ac:dyDescent="0.35">
      <c r="A81" s="2">
        <v>80</v>
      </c>
      <c r="B81" s="2" t="s">
        <v>2539</v>
      </c>
      <c r="C81" s="2">
        <v>5.8159999999999998</v>
      </c>
      <c r="D81" s="2">
        <v>0.88</v>
      </c>
      <c r="F81" s="2"/>
      <c r="I81" s="2"/>
    </row>
    <row r="82" spans="1:9" x14ac:dyDescent="0.35">
      <c r="A82" s="2">
        <v>81</v>
      </c>
      <c r="B82" s="2" t="s">
        <v>2540</v>
      </c>
      <c r="C82" s="2">
        <v>6.6779999999999999</v>
      </c>
      <c r="D82" s="2">
        <v>0.83499999999999996</v>
      </c>
      <c r="F82" s="2"/>
      <c r="I82" s="2"/>
    </row>
    <row r="83" spans="1:9" x14ac:dyDescent="0.35">
      <c r="A83" s="2">
        <v>82</v>
      </c>
      <c r="B83" s="2" t="s">
        <v>2541</v>
      </c>
      <c r="C83" s="2">
        <v>5.8159999999999998</v>
      </c>
      <c r="D83" s="2">
        <v>0.84899999999999998</v>
      </c>
      <c r="F83" s="2"/>
      <c r="I83" s="2"/>
    </row>
    <row r="84" spans="1:9" x14ac:dyDescent="0.35">
      <c r="A84" s="2">
        <v>83</v>
      </c>
      <c r="B84" s="2" t="s">
        <v>2542</v>
      </c>
      <c r="C84" s="2">
        <v>5.6959999999999997</v>
      </c>
      <c r="D84" s="2">
        <v>0.94</v>
      </c>
      <c r="F84" s="2"/>
      <c r="I84" s="2"/>
    </row>
    <row r="85" spans="1:9" x14ac:dyDescent="0.35">
      <c r="A85" s="2">
        <v>84</v>
      </c>
      <c r="B85" s="2" t="s">
        <v>2543</v>
      </c>
      <c r="C85" s="2">
        <v>5.7069999999999999</v>
      </c>
      <c r="D85" s="2">
        <v>0.86499999999999999</v>
      </c>
      <c r="F85" s="2"/>
      <c r="I85" s="2"/>
    </row>
    <row r="86" spans="1:9" x14ac:dyDescent="0.35">
      <c r="A86" s="2">
        <v>85</v>
      </c>
      <c r="B86" s="2" t="s">
        <v>2544</v>
      </c>
      <c r="C86" s="2">
        <v>4.7949999999999999</v>
      </c>
      <c r="D86" s="2">
        <v>0.53400000000000003</v>
      </c>
      <c r="F86" s="2"/>
      <c r="I86" s="2"/>
    </row>
    <row r="87" spans="1:9" x14ac:dyDescent="0.35">
      <c r="A87" s="2">
        <v>86</v>
      </c>
      <c r="B87" s="2" t="s">
        <v>2545</v>
      </c>
      <c r="C87" s="2">
        <v>5.2160000000000002</v>
      </c>
      <c r="D87" s="2">
        <v>0.69499999999999995</v>
      </c>
      <c r="F87" s="2"/>
      <c r="I87" s="2"/>
    </row>
    <row r="88" spans="1:9" x14ac:dyDescent="0.35">
      <c r="A88" s="2">
        <v>87</v>
      </c>
      <c r="B88" s="2" t="s">
        <v>2546</v>
      </c>
      <c r="C88" s="2">
        <v>4.3540000000000001</v>
      </c>
      <c r="D88" s="2">
        <v>0.73599999999999999</v>
      </c>
      <c r="F88" s="2"/>
      <c r="I88" s="2"/>
    </row>
    <row r="89" spans="1:9" x14ac:dyDescent="0.35">
      <c r="A89" s="2">
        <v>88</v>
      </c>
      <c r="B89" s="2" t="s">
        <v>2547</v>
      </c>
      <c r="C89" s="2">
        <v>4.8319999999999999</v>
      </c>
      <c r="D89" s="2">
        <v>0.82299999999999995</v>
      </c>
      <c r="F89" s="2"/>
      <c r="I89" s="2"/>
    </row>
    <row r="90" spans="1:9" x14ac:dyDescent="0.35">
      <c r="A90" s="2">
        <v>89</v>
      </c>
      <c r="B90" s="2" t="s">
        <v>2548</v>
      </c>
      <c r="C90" s="2">
        <v>5.1580000000000004</v>
      </c>
      <c r="D90" s="2">
        <v>0.73699999999999999</v>
      </c>
      <c r="F90" s="2"/>
      <c r="I90" s="2"/>
    </row>
    <row r="91" spans="1:9" x14ac:dyDescent="0.35">
      <c r="A91" s="2">
        <v>90</v>
      </c>
      <c r="B91" s="2" t="s">
        <v>2549</v>
      </c>
      <c r="C91" s="2">
        <v>7.319</v>
      </c>
      <c r="D91" s="2">
        <v>0.92100000000000004</v>
      </c>
      <c r="F91" s="2"/>
      <c r="I91" s="2"/>
    </row>
    <row r="92" spans="1:9" x14ac:dyDescent="0.35">
      <c r="A92" s="2">
        <v>91</v>
      </c>
      <c r="B92" s="2" t="s">
        <v>2550</v>
      </c>
      <c r="C92" s="2">
        <v>7.0289999999999999</v>
      </c>
      <c r="D92" s="2">
        <v>0.94599999999999995</v>
      </c>
      <c r="F92" s="2"/>
      <c r="I92" s="2"/>
    </row>
    <row r="93" spans="1:9" x14ac:dyDescent="0.35">
      <c r="A93" s="2">
        <v>92</v>
      </c>
      <c r="B93" s="2" t="s">
        <v>2551</v>
      </c>
      <c r="C93" s="2">
        <v>6.2839999999999998</v>
      </c>
      <c r="D93" s="2">
        <v>0.84299999999999997</v>
      </c>
      <c r="F93" s="2"/>
      <c r="I93" s="2"/>
    </row>
    <row r="94" spans="1:9" x14ac:dyDescent="0.35">
      <c r="A94" s="2">
        <v>93</v>
      </c>
      <c r="B94" s="2" t="s">
        <v>2552</v>
      </c>
      <c r="C94" s="2">
        <v>4.556</v>
      </c>
      <c r="D94" s="2">
        <v>0.61499999999999999</v>
      </c>
      <c r="F94" s="2"/>
      <c r="I94" s="2"/>
    </row>
    <row r="95" spans="1:9" x14ac:dyDescent="0.35">
      <c r="A95" s="2">
        <v>94</v>
      </c>
      <c r="B95" s="2" t="s">
        <v>2553</v>
      </c>
      <c r="C95" s="2">
        <v>4.8810000000000002</v>
      </c>
      <c r="D95" s="2">
        <v>0.77</v>
      </c>
      <c r="F95" s="2"/>
      <c r="I95" s="2"/>
    </row>
    <row r="96" spans="1:9" x14ac:dyDescent="0.35">
      <c r="A96" s="2">
        <v>95</v>
      </c>
      <c r="B96" s="2" t="s">
        <v>2554</v>
      </c>
      <c r="C96" s="2">
        <v>5.3689999999999998</v>
      </c>
      <c r="D96" s="2">
        <v>0.84799999999999998</v>
      </c>
      <c r="F96" s="2"/>
      <c r="I96" s="2"/>
    </row>
    <row r="97" spans="1:9" x14ac:dyDescent="0.35">
      <c r="A97" s="2">
        <v>96</v>
      </c>
      <c r="B97" s="2" t="s">
        <v>2555</v>
      </c>
      <c r="C97" s="2">
        <v>7.3019999999999996</v>
      </c>
      <c r="D97" s="2">
        <v>0.94199999999999995</v>
      </c>
      <c r="F97" s="2"/>
      <c r="I97" s="2"/>
    </row>
    <row r="98" spans="1:9" x14ac:dyDescent="0.35">
      <c r="A98" s="2">
        <v>97</v>
      </c>
      <c r="B98" s="2" t="s">
        <v>2556</v>
      </c>
      <c r="C98" s="2">
        <v>4.657</v>
      </c>
      <c r="D98" s="2">
        <v>0.58499999999999996</v>
      </c>
      <c r="F98" s="2"/>
      <c r="I98" s="2"/>
    </row>
    <row r="99" spans="1:9" x14ac:dyDescent="0.35">
      <c r="A99" s="2">
        <v>98</v>
      </c>
      <c r="B99" s="2" t="s">
        <v>2557</v>
      </c>
      <c r="C99" s="2">
        <v>6.3579999999999997</v>
      </c>
      <c r="D99" s="2">
        <v>0.89300000000000002</v>
      </c>
      <c r="F99" s="2"/>
      <c r="I99" s="2"/>
    </row>
    <row r="100" spans="1:9" x14ac:dyDescent="0.35">
      <c r="A100" s="2">
        <v>99</v>
      </c>
      <c r="B100" s="2" t="s">
        <v>2558</v>
      </c>
      <c r="C100" s="2">
        <v>5.9770000000000003</v>
      </c>
      <c r="D100" s="2">
        <v>0.9</v>
      </c>
      <c r="F100" s="2"/>
      <c r="I100" s="2"/>
    </row>
    <row r="101" spans="1:9" x14ac:dyDescent="0.35">
      <c r="A101" s="2">
        <v>100</v>
      </c>
      <c r="B101" s="2" t="s">
        <v>2559</v>
      </c>
      <c r="C101" s="2">
        <v>5.8410000000000002</v>
      </c>
      <c r="D101" s="2">
        <v>0.81100000000000005</v>
      </c>
      <c r="F101" s="2"/>
      <c r="I101" s="2"/>
    </row>
    <row r="102" spans="1:9" x14ac:dyDescent="0.35">
      <c r="A102" s="2">
        <v>101</v>
      </c>
      <c r="B102" s="2" t="s">
        <v>2560</v>
      </c>
      <c r="C102" s="2">
        <v>6.048</v>
      </c>
      <c r="D102" s="2">
        <v>0.79700000000000004</v>
      </c>
      <c r="F102" s="2"/>
      <c r="I102" s="2"/>
    </row>
    <row r="103" spans="1:9" x14ac:dyDescent="0.35">
      <c r="A103" s="2">
        <v>102</v>
      </c>
      <c r="B103" s="2" t="s">
        <v>2561</v>
      </c>
      <c r="C103" s="2">
        <v>6.4420000000000002</v>
      </c>
      <c r="D103" s="2">
        <v>0.90300000000000002</v>
      </c>
      <c r="F103" s="2"/>
      <c r="I103" s="2"/>
    </row>
    <row r="104" spans="1:9" x14ac:dyDescent="0.35">
      <c r="A104" s="2">
        <v>103</v>
      </c>
      <c r="B104" s="2" t="s">
        <v>2562</v>
      </c>
      <c r="C104" s="2">
        <v>6.03</v>
      </c>
      <c r="D104" s="2">
        <v>0.88400000000000001</v>
      </c>
      <c r="F104" s="2"/>
      <c r="I104" s="2"/>
    </row>
    <row r="105" spans="1:9" x14ac:dyDescent="0.35">
      <c r="A105" s="2">
        <v>104</v>
      </c>
      <c r="B105" s="2" t="s">
        <v>2563</v>
      </c>
      <c r="C105" s="2">
        <v>6.4909999999999997</v>
      </c>
      <c r="D105" s="2">
        <v>0.83199999999999996</v>
      </c>
      <c r="F105" s="2"/>
      <c r="I105" s="2"/>
    </row>
    <row r="106" spans="1:9" x14ac:dyDescent="0.35">
      <c r="A106" s="2">
        <v>105</v>
      </c>
      <c r="B106" s="2" t="s">
        <v>2564</v>
      </c>
      <c r="C106" s="2">
        <v>5.7850000000000001</v>
      </c>
      <c r="D106" s="2">
        <v>0.878</v>
      </c>
      <c r="F106" s="2"/>
      <c r="I106" s="2"/>
    </row>
    <row r="107" spans="1:9" x14ac:dyDescent="0.35">
      <c r="A107" s="2">
        <v>106</v>
      </c>
      <c r="B107" s="2" t="s">
        <v>2565</v>
      </c>
      <c r="C107" s="2">
        <v>4.9690000000000003</v>
      </c>
      <c r="D107" s="2">
        <v>0.64300000000000002</v>
      </c>
      <c r="F107" s="2"/>
      <c r="I107" s="2"/>
    </row>
    <row r="108" spans="1:9" x14ac:dyDescent="0.35">
      <c r="A108" s="2">
        <v>107</v>
      </c>
      <c r="B108" s="2" t="s">
        <v>2566</v>
      </c>
      <c r="C108" s="2">
        <v>6.4109999999999996</v>
      </c>
      <c r="D108" s="2">
        <v>0.89300000000000002</v>
      </c>
      <c r="F108" s="2"/>
      <c r="I108" s="2"/>
    </row>
    <row r="109" spans="1:9" x14ac:dyDescent="0.35">
      <c r="A109" s="2">
        <v>108</v>
      </c>
      <c r="B109" s="2" t="s">
        <v>2567</v>
      </c>
      <c r="C109" s="2">
        <v>3.2450000000000001</v>
      </c>
      <c r="D109" s="2">
        <v>0.57099999999999995</v>
      </c>
      <c r="F109" s="2"/>
      <c r="I109" s="2"/>
    </row>
    <row r="110" spans="1:9" x14ac:dyDescent="0.35">
      <c r="A110" s="2">
        <v>109</v>
      </c>
      <c r="B110" s="2" t="s">
        <v>2568</v>
      </c>
      <c r="C110" s="2">
        <v>6.5229999999999997</v>
      </c>
      <c r="D110" s="2">
        <v>0.88100000000000001</v>
      </c>
      <c r="F110" s="2"/>
      <c r="I110" s="2"/>
    </row>
    <row r="111" spans="1:9" x14ac:dyDescent="0.35">
      <c r="A111" s="2">
        <v>110</v>
      </c>
      <c r="B111" s="2" t="s">
        <v>2569</v>
      </c>
      <c r="C111" s="2">
        <v>6.2569999999999997</v>
      </c>
      <c r="D111" s="2">
        <v>0.95099999999999996</v>
      </c>
      <c r="F111" s="2"/>
      <c r="I111" s="2"/>
    </row>
    <row r="112" spans="1:9" x14ac:dyDescent="0.35">
      <c r="A112" s="2">
        <v>111</v>
      </c>
      <c r="B112" s="2" t="s">
        <v>2570</v>
      </c>
      <c r="C112" s="2">
        <v>6.7430000000000003</v>
      </c>
      <c r="D112" s="2">
        <v>0.93600000000000005</v>
      </c>
      <c r="F112" s="2"/>
      <c r="I112" s="2"/>
    </row>
    <row r="113" spans="1:9" x14ac:dyDescent="0.35">
      <c r="A113" s="2">
        <v>112</v>
      </c>
      <c r="B113" s="2" t="s">
        <v>2571</v>
      </c>
      <c r="C113" s="2">
        <v>5.4219999999999997</v>
      </c>
      <c r="D113" s="2">
        <v>0.88500000000000001</v>
      </c>
      <c r="F113" s="2"/>
      <c r="I113" s="2"/>
    </row>
    <row r="114" spans="1:9" x14ac:dyDescent="0.35">
      <c r="A114" s="2">
        <v>113</v>
      </c>
      <c r="B114" s="2" t="s">
        <v>2572</v>
      </c>
      <c r="C114" s="2">
        <v>6.0579999999999998</v>
      </c>
      <c r="D114" s="2">
        <v>0.81</v>
      </c>
      <c r="F114" s="2"/>
      <c r="I114" s="2"/>
    </row>
    <row r="115" spans="1:9" x14ac:dyDescent="0.35">
      <c r="A115" s="2">
        <v>114</v>
      </c>
      <c r="B115" s="2" t="s">
        <v>2573</v>
      </c>
      <c r="C115" s="2">
        <v>6.4210000000000003</v>
      </c>
      <c r="D115" s="2">
        <v>0.92400000000000004</v>
      </c>
      <c r="F115" s="2"/>
      <c r="I115" s="2"/>
    </row>
    <row r="116" spans="1:9" x14ac:dyDescent="0.35">
      <c r="A116" s="2">
        <v>115</v>
      </c>
      <c r="B116" s="2" t="s">
        <v>2574</v>
      </c>
      <c r="C116" s="2">
        <v>3.8980000000000001</v>
      </c>
      <c r="D116" s="2">
        <v>0.81</v>
      </c>
      <c r="F116" s="2"/>
      <c r="I116" s="2"/>
    </row>
    <row r="117" spans="1:9" x14ac:dyDescent="0.35">
      <c r="A117" s="2">
        <v>116</v>
      </c>
      <c r="B117" s="2" t="s">
        <v>2575</v>
      </c>
      <c r="C117" s="2">
        <v>7.3440000000000003</v>
      </c>
      <c r="D117" s="2">
        <v>0.93600000000000005</v>
      </c>
      <c r="F117" s="2"/>
      <c r="I117" s="2"/>
    </row>
    <row r="118" spans="1:9" x14ac:dyDescent="0.35">
      <c r="A118" s="2">
        <v>117</v>
      </c>
      <c r="B118" s="2" t="s">
        <v>2576</v>
      </c>
      <c r="C118" s="2">
        <v>7.06</v>
      </c>
      <c r="D118" s="2">
        <v>0.90600000000000003</v>
      </c>
      <c r="F118" s="2"/>
      <c r="I118" s="2"/>
    </row>
    <row r="119" spans="1:9" x14ac:dyDescent="0.35">
      <c r="A119" s="2">
        <v>118</v>
      </c>
      <c r="B119" s="2" t="s">
        <v>2577</v>
      </c>
      <c r="C119" s="2">
        <v>3.7810000000000001</v>
      </c>
      <c r="D119" s="2">
        <v>0.626</v>
      </c>
      <c r="F119" s="2"/>
      <c r="I119" s="2"/>
    </row>
    <row r="120" spans="1:9" x14ac:dyDescent="0.35">
      <c r="A120" s="2">
        <v>119</v>
      </c>
      <c r="B120" s="2" t="s">
        <v>2578</v>
      </c>
      <c r="C120" s="2">
        <v>5.976</v>
      </c>
      <c r="D120" s="2">
        <v>0.876</v>
      </c>
      <c r="F120" s="2"/>
      <c r="I120" s="2"/>
    </row>
    <row r="121" spans="1:9" x14ac:dyDescent="0.35">
      <c r="A121" s="2">
        <v>120</v>
      </c>
      <c r="B121" s="2" t="s">
        <v>2579</v>
      </c>
      <c r="C121" s="2">
        <v>4.2140000000000004</v>
      </c>
      <c r="D121" s="2">
        <v>0.57899999999999996</v>
      </c>
      <c r="F121" s="2"/>
      <c r="I121" s="2"/>
    </row>
    <row r="122" spans="1:9" x14ac:dyDescent="0.35">
      <c r="A122" s="2">
        <v>121</v>
      </c>
      <c r="B122" s="2" t="s">
        <v>2580</v>
      </c>
      <c r="C122" s="2">
        <v>4.4219999999999997</v>
      </c>
      <c r="D122" s="2">
        <v>0.72299999999999998</v>
      </c>
      <c r="F122" s="2"/>
      <c r="I122" s="2"/>
    </row>
    <row r="123" spans="1:9" x14ac:dyDescent="0.35">
      <c r="A123" s="2">
        <v>122</v>
      </c>
      <c r="B123" s="2" t="s">
        <v>2581</v>
      </c>
      <c r="C123" s="2">
        <v>4.9749999999999996</v>
      </c>
      <c r="D123" s="2">
        <v>0.80900000000000005</v>
      </c>
      <c r="F123" s="2"/>
      <c r="I123" s="2"/>
    </row>
    <row r="124" spans="1:9" x14ac:dyDescent="0.35">
      <c r="A124" s="2">
        <v>123</v>
      </c>
      <c r="B124" s="2" t="s">
        <v>2582</v>
      </c>
      <c r="C124" s="2">
        <v>4.3719999999999999</v>
      </c>
      <c r="D124" s="2">
        <v>0.79900000000000004</v>
      </c>
      <c r="F124" s="2"/>
      <c r="I124" s="2"/>
    </row>
    <row r="125" spans="1:9" x14ac:dyDescent="0.35">
      <c r="A125" s="2">
        <v>124</v>
      </c>
      <c r="B125" s="2" t="s">
        <v>2583</v>
      </c>
      <c r="C125" s="2">
        <v>4.8730000000000002</v>
      </c>
      <c r="D125" s="2">
        <v>0.86299999999999999</v>
      </c>
      <c r="F125" s="2"/>
      <c r="I125" s="2"/>
    </row>
    <row r="126" spans="1:9" x14ac:dyDescent="0.35">
      <c r="A126" s="2">
        <v>125</v>
      </c>
      <c r="B126" s="2" t="s">
        <v>2584</v>
      </c>
      <c r="C126" s="2">
        <v>6.7489999999999997</v>
      </c>
      <c r="D126" s="2">
        <v>0.86799999999999999</v>
      </c>
      <c r="F126" s="2"/>
      <c r="I126" s="2"/>
    </row>
    <row r="127" spans="1:9" x14ac:dyDescent="0.35">
      <c r="A127" s="2">
        <v>126</v>
      </c>
      <c r="B127" s="2" t="s">
        <v>2585</v>
      </c>
      <c r="C127" s="2">
        <v>6.7249999999999996</v>
      </c>
      <c r="D127" s="2">
        <v>0.89300000000000002</v>
      </c>
      <c r="F127" s="2"/>
      <c r="I127" s="2"/>
    </row>
    <row r="128" spans="1:9" x14ac:dyDescent="0.35">
      <c r="A128" s="2">
        <v>127</v>
      </c>
      <c r="B128" s="2" t="s">
        <v>2586</v>
      </c>
      <c r="C128" s="2">
        <v>6.6109999999999998</v>
      </c>
      <c r="D128" s="2">
        <v>0.90900000000000003</v>
      </c>
      <c r="F128" s="2"/>
      <c r="I128" s="2"/>
    </row>
    <row r="129" spans="1:9" x14ac:dyDescent="0.35">
      <c r="A129" s="2">
        <v>128</v>
      </c>
      <c r="B129" s="2" t="s">
        <v>2587</v>
      </c>
      <c r="C129" s="2">
        <v>6.1950000000000003</v>
      </c>
      <c r="D129" s="2">
        <v>0.89400000000000002</v>
      </c>
      <c r="F129" s="2"/>
      <c r="I129" s="2"/>
    </row>
    <row r="130" spans="1:9" x14ac:dyDescent="0.35">
      <c r="A130" s="2">
        <v>129</v>
      </c>
      <c r="B130" s="2" t="s">
        <v>2588</v>
      </c>
      <c r="C130" s="2">
        <v>6.0430000000000001</v>
      </c>
      <c r="D130" s="2">
        <v>0.84499999999999997</v>
      </c>
      <c r="F130" s="2"/>
      <c r="I130" s="2"/>
    </row>
    <row r="131" spans="1:9" x14ac:dyDescent="0.35">
      <c r="A131" s="2">
        <v>130</v>
      </c>
      <c r="B131" s="2" t="s">
        <v>2589</v>
      </c>
      <c r="C131" s="2">
        <v>3.5019999999999998</v>
      </c>
      <c r="D131" s="2">
        <v>0.66600000000000004</v>
      </c>
      <c r="F131" s="2"/>
      <c r="I131" s="2"/>
    </row>
    <row r="132" spans="1:9" x14ac:dyDescent="0.35">
      <c r="A132" s="2">
        <v>131</v>
      </c>
      <c r="B132" s="2" t="s">
        <v>2590</v>
      </c>
      <c r="C132" s="2">
        <v>3.3410000000000002</v>
      </c>
      <c r="D132" s="2">
        <v>0.68200000000000005</v>
      </c>
      <c r="F132" s="2"/>
      <c r="I132" s="2"/>
    </row>
  </sheetData>
  <sortState xmlns:xlrd2="http://schemas.microsoft.com/office/spreadsheetml/2017/richdata2" ref="G2:I132">
    <sortCondition ref="I2:I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Aurell</dc:creator>
  <cp:lastModifiedBy>Rahel Hutagalung</cp:lastModifiedBy>
  <dcterms:created xsi:type="dcterms:W3CDTF">2026-02-13T14:40:46Z</dcterms:created>
  <dcterms:modified xsi:type="dcterms:W3CDTF">2026-02-22T09:12:51Z</dcterms:modified>
</cp:coreProperties>
</file>